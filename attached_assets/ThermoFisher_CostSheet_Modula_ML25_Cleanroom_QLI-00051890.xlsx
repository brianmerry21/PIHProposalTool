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cificintegrated1-my.sharepoint.com/personal/joshjancola_pacificintegrated_com/Documents/Thermo Fisher Scientific/2025 Modula/"/>
    </mc:Choice>
  </mc:AlternateContent>
  <xr:revisionPtr revIDLastSave="1577" documentId="8_{E17E44D0-446A-42B8-96BE-621A5FA7C250}" xr6:coauthVersionLast="47" xr6:coauthVersionMax="47" xr10:uidLastSave="{3978F1C6-69B3-4223-B052-F3AD3C22231A}"/>
  <bookViews>
    <workbookView xWindow="-28920" yWindow="-120" windowWidth="29040" windowHeight="15360" xr2:uid="{7F58B6E9-F705-4E52-ACF4-0E92ED2CC6CC}"/>
  </bookViews>
  <sheets>
    <sheet name="Primary Op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J33" i="2"/>
  <c r="E57" i="2"/>
  <c r="G57" i="2" s="1"/>
  <c r="J57" i="2" s="1"/>
  <c r="L57" i="2" s="1"/>
  <c r="E55" i="2"/>
  <c r="G55" i="2" s="1"/>
  <c r="J55" i="2" s="1"/>
  <c r="L55" i="2" s="1"/>
  <c r="G16" i="2"/>
  <c r="M19" i="2"/>
  <c r="J19" i="2"/>
  <c r="L19" i="2" s="1"/>
  <c r="M21" i="2"/>
  <c r="J21" i="2"/>
  <c r="L21" i="2" s="1"/>
  <c r="O21" i="2" s="1"/>
  <c r="N19" i="2" l="1"/>
  <c r="O19" i="2"/>
  <c r="N21" i="2"/>
  <c r="J25" i="2"/>
  <c r="G25" i="2" s="1"/>
  <c r="M25" i="2" s="1"/>
  <c r="M7" i="2"/>
  <c r="J16" i="2"/>
  <c r="L16" i="2" s="1"/>
  <c r="E41" i="2"/>
  <c r="G41" i="2" s="1"/>
  <c r="J41" i="2" s="1"/>
  <c r="L41" i="2" s="1"/>
  <c r="E39" i="2"/>
  <c r="G39" i="2" s="1"/>
  <c r="J39" i="2" s="1"/>
  <c r="L39" i="2" s="1"/>
  <c r="J23" i="2"/>
  <c r="L23" i="2" s="1"/>
  <c r="O23" i="2" s="1"/>
  <c r="M23" i="2"/>
  <c r="Q64" i="2"/>
  <c r="Q65" i="2" s="1"/>
  <c r="E53" i="2"/>
  <c r="G53" i="2" s="1"/>
  <c r="J53" i="2" s="1"/>
  <c r="L53" i="2" s="1"/>
  <c r="E51" i="2"/>
  <c r="G51" i="2" s="1"/>
  <c r="J51" i="2" s="1"/>
  <c r="L51" i="2" s="1"/>
  <c r="E49" i="2"/>
  <c r="G49" i="2" s="1"/>
  <c r="J49" i="2" s="1"/>
  <c r="L49" i="2" s="1"/>
  <c r="E47" i="2"/>
  <c r="G47" i="2" s="1"/>
  <c r="J47" i="2" s="1"/>
  <c r="L47" i="2" s="1"/>
  <c r="E45" i="2"/>
  <c r="G45" i="2" s="1"/>
  <c r="J45" i="2" s="1"/>
  <c r="L45" i="2" s="1"/>
  <c r="E43" i="2"/>
  <c r="G43" i="2" s="1"/>
  <c r="J43" i="2" s="1"/>
  <c r="L43" i="2" s="1"/>
  <c r="E37" i="2"/>
  <c r="G37" i="2" s="1"/>
  <c r="J37" i="2" s="1"/>
  <c r="L37" i="2" s="1"/>
  <c r="L33" i="2"/>
  <c r="O33" i="2" s="1"/>
  <c r="M33" i="2"/>
  <c r="L30" i="2"/>
  <c r="O30" i="2" s="1"/>
  <c r="G30" i="2"/>
  <c r="M30" i="2" s="1"/>
  <c r="L25" i="2" l="1"/>
  <c r="N23" i="2"/>
  <c r="N16" i="2"/>
  <c r="O16" i="2"/>
  <c r="M16" i="2"/>
  <c r="M64" i="2" s="1"/>
  <c r="N33" i="2"/>
  <c r="P33" i="2" s="1"/>
  <c r="N30" i="2"/>
  <c r="P30" i="2" s="1"/>
  <c r="J7" i="2"/>
  <c r="L7" i="2" s="1"/>
  <c r="O25" i="2" l="1"/>
  <c r="P19" i="2" s="1"/>
  <c r="N25" i="2"/>
  <c r="N7" i="2"/>
  <c r="O7" i="2"/>
  <c r="O70" i="2"/>
  <c r="N70" i="2"/>
  <c r="P7" i="2" l="1"/>
  <c r="P64" i="2" s="1"/>
  <c r="N64" i="2"/>
  <c r="O71" i="2" l="1"/>
  <c r="O75" i="2" s="1"/>
  <c r="O73" i="2" s="1"/>
  <c r="N67" i="2"/>
  <c r="N71" i="2" s="1"/>
  <c r="N75" i="2" s="1"/>
  <c r="N73" i="2" s="1"/>
</calcChain>
</file>

<file path=xl/sharedStrings.xml><?xml version="1.0" encoding="utf-8"?>
<sst xmlns="http://schemas.openxmlformats.org/spreadsheetml/2006/main" count="80" uniqueCount="68">
  <si>
    <t>Item #</t>
  </si>
  <si>
    <t>Description</t>
  </si>
  <si>
    <t>Total List</t>
  </si>
  <si>
    <t>Factory Install</t>
  </si>
  <si>
    <t>Machine list</t>
  </si>
  <si>
    <t xml:space="preserve">Discount </t>
  </si>
  <si>
    <t xml:space="preserve">Cost </t>
  </si>
  <si>
    <t>Margin</t>
  </si>
  <si>
    <t>Sell price</t>
  </si>
  <si>
    <t>Qty</t>
  </si>
  <si>
    <t xml:space="preserve">Total sell price </t>
  </si>
  <si>
    <t xml:space="preserve">Total cost </t>
  </si>
  <si>
    <t>Proposal Each</t>
  </si>
  <si>
    <t xml:space="preserve">Proposal </t>
  </si>
  <si>
    <t>Machine</t>
  </si>
  <si>
    <t>Install</t>
  </si>
  <si>
    <t>PIH</t>
  </si>
  <si>
    <t>Seismic Calculations</t>
  </si>
  <si>
    <t>PIH Cost</t>
  </si>
  <si>
    <t>PIH Sell</t>
  </si>
  <si>
    <t xml:space="preserve">Proposal Total </t>
  </si>
  <si>
    <t>Discounts</t>
  </si>
  <si>
    <t>Discount 2</t>
  </si>
  <si>
    <t>Grand Total</t>
  </si>
  <si>
    <t>Margin Calculator</t>
  </si>
  <si>
    <t>Including Labor</t>
  </si>
  <si>
    <t>Cost $:</t>
  </si>
  <si>
    <t>Sell $:</t>
  </si>
  <si>
    <t>Gross Margin:</t>
  </si>
  <si>
    <t>Gross Profit:</t>
  </si>
  <si>
    <t>Combined with VLM price</t>
  </si>
  <si>
    <t>Laser Pointer</t>
  </si>
  <si>
    <t>RFID Badge Reader</t>
  </si>
  <si>
    <t>Wireless Bar Code Reader (1D)</t>
  </si>
  <si>
    <t>Spare Parts Kit - Level B</t>
  </si>
  <si>
    <t>Spare Parts Kit - Level C</t>
  </si>
  <si>
    <t>Option</t>
  </si>
  <si>
    <t>Co-Pilot Color Touch Screen Operator Console</t>
  </si>
  <si>
    <t>Alphanumeric LED Display Bar</t>
  </si>
  <si>
    <t>Created Date</t>
  </si>
  <si>
    <t>Last Edited</t>
  </si>
  <si>
    <t>Wireless Bar Code Reader (2D)</t>
  </si>
  <si>
    <t>Spare Parts Kit - Level A</t>
  </si>
  <si>
    <t>Magnetic Badge Reader</t>
  </si>
  <si>
    <t>Includes Rentals</t>
  </si>
  <si>
    <t>Large Unit Base Plates</t>
  </si>
  <si>
    <t>Dynamic Height Management System</t>
  </si>
  <si>
    <t>Software</t>
  </si>
  <si>
    <t>PIH On-Site Software Support</t>
  </si>
  <si>
    <t>Sliding Operator Console</t>
  </si>
  <si>
    <t>Optional Items</t>
  </si>
  <si>
    <t>Modula WMS Premium Software</t>
  </si>
  <si>
    <t>Modula On-Site Software Installation &amp; Training</t>
  </si>
  <si>
    <t>Thermo Fisher</t>
  </si>
  <si>
    <t>Modula VLM ML25-3700 with Internal Bay</t>
  </si>
  <si>
    <t>Offer # 00051890</t>
  </si>
  <si>
    <t>22 slotted trays with 161.41" W x 25.75" D</t>
  </si>
  <si>
    <t>Automatic Closing Door</t>
  </si>
  <si>
    <t>Freight by PIH to Hillsboro, OR - Rear Load - 1 truck</t>
  </si>
  <si>
    <t>PIH Install (Hillsboro, OR)</t>
  </si>
  <si>
    <t>ISO 7 Cleanroom PPE - Hair Cover, Beard Cover, Lab Coat, Shoe Cover, Gloves</t>
  </si>
  <si>
    <t>Modula Picking</t>
  </si>
  <si>
    <t>ESD Protection System</t>
  </si>
  <si>
    <t>Premium 24/5 TSA (Annual Fee)</t>
  </si>
  <si>
    <t>Premium 24/7 TSA (Annual Fee)</t>
  </si>
  <si>
    <t>Tray Partitions and Dividers</t>
  </si>
  <si>
    <t>TBD</t>
  </si>
  <si>
    <t xml:space="preserve">Put-to-light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</si>
</sst>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20"/>
      <color theme="1"/>
      <name val="Calibri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3"/>
      <name val="Arial"/>
      <family val="2"/>
    </font>
    <font>
      <sz val="11"/>
      <name val="Calibri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164" fontId="0" fillId="3" borderId="0" xfId="0" applyNumberFormat="1" applyFill="1" applyAlignment="1">
      <alignment horizontal="left"/>
    </xf>
    <xf numFmtId="0" fontId="0" fillId="0" borderId="0" xfId="0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5" fillId="3" borderId="7" xfId="0" applyNumberFormat="1" applyFont="1" applyFill="1" applyBorder="1" applyAlignment="1">
      <alignment horizontal="center"/>
    </xf>
    <xf numFmtId="164" fontId="5" fillId="6" borderId="7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left"/>
    </xf>
    <xf numFmtId="0" fontId="0" fillId="3" borderId="6" xfId="0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164" fontId="0" fillId="6" borderId="8" xfId="0" applyNumberForma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44" fontId="2" fillId="8" borderId="5" xfId="1" applyFont="1" applyFill="1" applyBorder="1"/>
    <xf numFmtId="164" fontId="0" fillId="8" borderId="5" xfId="0" applyNumberFormat="1" applyFill="1" applyBorder="1" applyAlignment="1">
      <alignment horizontal="center"/>
    </xf>
    <xf numFmtId="9" fontId="0" fillId="8" borderId="4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8" fontId="8" fillId="8" borderId="1" xfId="0" applyNumberFormat="1" applyFont="1" applyFill="1" applyBorder="1" applyAlignment="1">
      <alignment horizontal="center"/>
    </xf>
    <xf numFmtId="164" fontId="0" fillId="8" borderId="8" xfId="0" applyNumberFormat="1" applyFill="1" applyBorder="1" applyAlignment="1">
      <alignment horizontal="center"/>
    </xf>
    <xf numFmtId="165" fontId="0" fillId="8" borderId="8" xfId="0" applyNumberFormat="1" applyFill="1" applyBorder="1" applyAlignment="1">
      <alignment horizontal="center"/>
    </xf>
    <xf numFmtId="0" fontId="0" fillId="9" borderId="0" xfId="0" applyFill="1" applyAlignment="1">
      <alignment horizontal="left"/>
    </xf>
    <xf numFmtId="0" fontId="0" fillId="3" borderId="8" xfId="0" applyFill="1" applyBorder="1" applyAlignment="1">
      <alignment horizontal="center"/>
    </xf>
    <xf numFmtId="0" fontId="2" fillId="0" borderId="0" xfId="0" applyFont="1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44" fontId="2" fillId="2" borderId="0" xfId="1" applyFont="1" applyFill="1" applyBorder="1"/>
    <xf numFmtId="164" fontId="0" fillId="5" borderId="8" xfId="0" applyNumberFormat="1" applyFill="1" applyBorder="1" applyAlignment="1">
      <alignment horizontal="center"/>
    </xf>
    <xf numFmtId="3" fontId="0" fillId="9" borderId="0" xfId="0" applyNumberFormat="1" applyFill="1" applyAlignment="1">
      <alignment horizontal="left"/>
    </xf>
    <xf numFmtId="0" fontId="2" fillId="8" borderId="0" xfId="0" applyFont="1" applyFill="1" applyAlignment="1">
      <alignment horizontal="left"/>
    </xf>
    <xf numFmtId="9" fontId="0" fillId="8" borderId="8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8" fontId="8" fillId="4" borderId="1" xfId="0" applyNumberFormat="1" applyFon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44" fontId="2" fillId="8" borderId="0" xfId="1" applyFont="1" applyFill="1" applyBorder="1"/>
    <xf numFmtId="0" fontId="7" fillId="7" borderId="9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44" fontId="5" fillId="5" borderId="2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left"/>
    </xf>
    <xf numFmtId="164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164" fontId="2" fillId="8" borderId="7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8" xfId="0" applyFont="1" applyFill="1" applyBorder="1" applyAlignment="1">
      <alignment horizontal="left"/>
    </xf>
    <xf numFmtId="164" fontId="6" fillId="3" borderId="0" xfId="0" applyNumberFormat="1" applyFont="1" applyFill="1" applyAlignment="1">
      <alignment horizontal="center"/>
    </xf>
    <xf numFmtId="44" fontId="6" fillId="3" borderId="2" xfId="0" applyNumberFormat="1" applyFont="1" applyFill="1" applyBorder="1" applyAlignment="1">
      <alignment horizontal="center"/>
    </xf>
    <xf numFmtId="0" fontId="6" fillId="3" borderId="10" xfId="0" applyFont="1" applyFill="1" applyBorder="1" applyAlignment="1">
      <alignment horizontal="left"/>
    </xf>
    <xf numFmtId="164" fontId="6" fillId="3" borderId="11" xfId="0" applyNumberFormat="1" applyFont="1" applyFill="1" applyBorder="1" applyAlignment="1">
      <alignment horizontal="center"/>
    </xf>
    <xf numFmtId="44" fontId="6" fillId="3" borderId="13" xfId="0" applyNumberFormat="1" applyFont="1" applyFill="1" applyBorder="1" applyAlignment="1">
      <alignment horizontal="center"/>
    </xf>
    <xf numFmtId="164" fontId="5" fillId="7" borderId="11" xfId="0" applyNumberFormat="1" applyFont="1" applyFill="1" applyBorder="1" applyAlignment="1">
      <alignment horizontal="center"/>
    </xf>
    <xf numFmtId="164" fontId="5" fillId="5" borderId="13" xfId="0" applyNumberFormat="1" applyFont="1" applyFill="1" applyBorder="1" applyAlignment="1">
      <alignment horizontal="center"/>
    </xf>
    <xf numFmtId="0" fontId="9" fillId="10" borderId="5" xfId="0" applyFont="1" applyFill="1" applyBorder="1" applyAlignment="1">
      <alignment horizontal="left"/>
    </xf>
    <xf numFmtId="0" fontId="5" fillId="10" borderId="14" xfId="0" applyFont="1" applyFill="1" applyBorder="1" applyAlignment="1">
      <alignment horizontal="left"/>
    </xf>
    <xf numFmtId="0" fontId="5" fillId="10" borderId="0" xfId="0" applyFont="1" applyFill="1" applyAlignment="1">
      <alignment horizontal="left"/>
    </xf>
    <xf numFmtId="0" fontId="5" fillId="10" borderId="2" xfId="0" applyFont="1" applyFill="1" applyBorder="1" applyAlignment="1">
      <alignment horizontal="left"/>
    </xf>
    <xf numFmtId="4" fontId="0" fillId="0" borderId="0" xfId="0" applyNumberFormat="1" applyAlignment="1">
      <alignment horizontal="center"/>
    </xf>
    <xf numFmtId="0" fontId="5" fillId="11" borderId="15" xfId="0" applyFont="1" applyFill="1" applyBorder="1" applyAlignment="1">
      <alignment horizontal="center"/>
    </xf>
    <xf numFmtId="164" fontId="10" fillId="4" borderId="15" xfId="0" applyNumberFormat="1" applyFont="1" applyFill="1" applyBorder="1" applyAlignment="1">
      <alignment horizontal="center"/>
    </xf>
    <xf numFmtId="164" fontId="11" fillId="8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left"/>
    </xf>
    <xf numFmtId="164" fontId="10" fillId="5" borderId="15" xfId="0" applyNumberFormat="1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10" fontId="12" fillId="11" borderId="15" xfId="0" applyNumberFormat="1" applyFont="1" applyFill="1" applyBorder="1" applyAlignment="1">
      <alignment horizontal="center"/>
    </xf>
    <xf numFmtId="10" fontId="11" fillId="8" borderId="0" xfId="0" applyNumberFormat="1" applyFont="1" applyFill="1" applyAlignment="1">
      <alignment horizontal="center"/>
    </xf>
    <xf numFmtId="0" fontId="5" fillId="12" borderId="15" xfId="0" applyFont="1" applyFill="1" applyBorder="1" applyAlignment="1">
      <alignment horizontal="center"/>
    </xf>
    <xf numFmtId="7" fontId="10" fillId="12" borderId="15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10" xfId="0" applyNumberFormat="1" applyBorder="1" applyAlignment="1">
      <alignment horizontal="center"/>
    </xf>
    <xf numFmtId="0" fontId="5" fillId="8" borderId="14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0" fillId="8" borderId="14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4" fontId="2" fillId="8" borderId="4" xfId="1" applyFont="1" applyFill="1" applyBorder="1"/>
    <xf numFmtId="0" fontId="0" fillId="0" borderId="8" xfId="0" applyBorder="1"/>
    <xf numFmtId="44" fontId="2" fillId="2" borderId="8" xfId="1" applyFont="1" applyFill="1" applyBorder="1"/>
    <xf numFmtId="8" fontId="8" fillId="4" borderId="8" xfId="0" applyNumberFormat="1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8" fontId="8" fillId="4" borderId="12" xfId="0" applyNumberFormat="1" applyFont="1" applyFill="1" applyBorder="1" applyAlignment="1">
      <alignment horizontal="center"/>
    </xf>
    <xf numFmtId="44" fontId="2" fillId="2" borderId="11" xfId="1" applyFont="1" applyFill="1" applyBorder="1"/>
    <xf numFmtId="164" fontId="0" fillId="6" borderId="10" xfId="0" applyNumberFormat="1" applyFill="1" applyBorder="1" applyAlignment="1">
      <alignment horizontal="center"/>
    </xf>
    <xf numFmtId="9" fontId="0" fillId="0" borderId="8" xfId="2" applyFont="1" applyBorder="1" applyAlignment="1">
      <alignment horizontal="center"/>
    </xf>
    <xf numFmtId="14" fontId="0" fillId="0" borderId="0" xfId="0" applyNumberFormat="1" applyAlignment="1">
      <alignment horizontal="center"/>
    </xf>
    <xf numFmtId="165" fontId="2" fillId="8" borderId="7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44" fontId="2" fillId="2" borderId="10" xfId="1" applyFont="1" applyFill="1" applyBorder="1"/>
    <xf numFmtId="8" fontId="8" fillId="4" borderId="10" xfId="0" applyNumberFormat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44" fontId="2" fillId="8" borderId="8" xfId="1" applyFont="1" applyFill="1" applyBorder="1"/>
    <xf numFmtId="10" fontId="0" fillId="8" borderId="8" xfId="0" applyNumberFormat="1" applyFill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8" xfId="0" applyNumberFormat="1" applyBorder="1"/>
    <xf numFmtId="10" fontId="0" fillId="0" borderId="2" xfId="0" applyNumberFormat="1" applyBorder="1"/>
    <xf numFmtId="10" fontId="0" fillId="0" borderId="13" xfId="0" applyNumberFormat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0" fillId="0" borderId="10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C662-78DC-42E2-8423-4BCF877244DF}">
  <dimension ref="A1:Q75"/>
  <sheetViews>
    <sheetView tabSelected="1" topLeftCell="A17" workbookViewId="0">
      <selection activeCell="J31" sqref="J31"/>
    </sheetView>
  </sheetViews>
  <sheetFormatPr defaultRowHeight="14.5" x14ac:dyDescent="0.35"/>
  <cols>
    <col min="1" max="1" width="6" bestFit="1" customWidth="1"/>
    <col min="2" max="2" width="47.81640625" customWidth="1"/>
    <col min="3" max="3" width="12.1796875" bestFit="1" customWidth="1"/>
    <col min="4" max="4" width="13.08984375" bestFit="1" customWidth="1"/>
    <col min="5" max="5" width="13.81640625" customWidth="1"/>
    <col min="6" max="6" width="15.90625" customWidth="1"/>
    <col min="7" max="7" width="15.1796875" customWidth="1"/>
    <col min="9" max="9" width="6.7265625" bestFit="1" customWidth="1"/>
    <col min="10" max="10" width="12.1796875" bestFit="1" customWidth="1"/>
    <col min="11" max="11" width="3.90625" bestFit="1" customWidth="1"/>
    <col min="12" max="12" width="14.08984375" bestFit="1" customWidth="1"/>
    <col min="13" max="13" width="18.81640625" customWidth="1"/>
    <col min="14" max="14" width="19.453125" customWidth="1"/>
    <col min="15" max="15" width="19.26953125" customWidth="1"/>
    <col min="16" max="16" width="16.36328125" customWidth="1"/>
    <col min="17" max="17" width="27.26953125" bestFit="1" customWidth="1"/>
  </cols>
  <sheetData>
    <row r="1" spans="1:17" ht="26" x14ac:dyDescent="0.6">
      <c r="A1" s="1"/>
      <c r="B1" s="2"/>
      <c r="C1" s="3"/>
      <c r="D1" s="4"/>
      <c r="E1" s="4"/>
      <c r="F1" s="5" t="s">
        <v>53</v>
      </c>
      <c r="G1" s="4"/>
      <c r="H1" s="4"/>
      <c r="I1" s="4"/>
      <c r="J1" s="4"/>
      <c r="K1" s="4"/>
      <c r="L1" s="4"/>
      <c r="M1" s="4"/>
      <c r="N1" s="7"/>
      <c r="O1" s="3"/>
      <c r="P1" s="3"/>
      <c r="Q1" s="8"/>
    </row>
    <row r="2" spans="1:17" ht="17.5" x14ac:dyDescent="0.35">
      <c r="A2" s="1"/>
      <c r="B2" s="9"/>
      <c r="C2" s="4"/>
      <c r="D2" s="4"/>
      <c r="E2" s="4"/>
      <c r="F2" s="4" t="s">
        <v>39</v>
      </c>
      <c r="G2" s="113">
        <v>45733</v>
      </c>
      <c r="H2" s="8"/>
      <c r="I2" s="4"/>
      <c r="J2" s="4"/>
      <c r="K2" s="4"/>
      <c r="L2" s="4"/>
      <c r="M2" s="4"/>
      <c r="N2" s="7"/>
      <c r="O2" s="3"/>
      <c r="P2" s="3"/>
      <c r="Q2" s="10"/>
    </row>
    <row r="3" spans="1:17" ht="18" thickBot="1" x14ac:dyDescent="0.4">
      <c r="A3" s="1"/>
      <c r="B3" s="9"/>
      <c r="C3" s="4"/>
      <c r="D3" s="4"/>
      <c r="E3" s="4"/>
      <c r="F3" s="4" t="s">
        <v>40</v>
      </c>
      <c r="G3" s="113">
        <v>45733</v>
      </c>
      <c r="H3" s="8"/>
      <c r="I3" s="4"/>
      <c r="J3" s="4"/>
      <c r="K3" s="4"/>
      <c r="L3" s="4"/>
      <c r="M3" s="4"/>
      <c r="N3" s="7"/>
      <c r="O3" s="3"/>
      <c r="P3" s="3"/>
      <c r="Q3" s="10"/>
    </row>
    <row r="4" spans="1:17" ht="15" thickBot="1" x14ac:dyDescent="0.4">
      <c r="A4" s="1"/>
      <c r="B4" s="4"/>
      <c r="C4" s="4"/>
      <c r="D4" s="4"/>
      <c r="E4" s="4"/>
      <c r="F4" s="4"/>
      <c r="G4" s="4"/>
      <c r="H4" s="11"/>
      <c r="I4" s="4"/>
      <c r="J4" s="4"/>
      <c r="K4" s="4"/>
      <c r="L4" s="4"/>
      <c r="M4" s="12"/>
      <c r="N4" s="13"/>
      <c r="O4" s="14"/>
      <c r="P4" s="15"/>
      <c r="Q4" s="10"/>
    </row>
    <row r="5" spans="1:17" ht="15" thickBot="1" x14ac:dyDescent="0.4">
      <c r="A5" s="16" t="s">
        <v>0</v>
      </c>
      <c r="B5" s="17" t="s">
        <v>1</v>
      </c>
      <c r="C5" s="18" t="s">
        <v>2</v>
      </c>
      <c r="D5" s="17" t="s">
        <v>3</v>
      </c>
      <c r="E5" s="19" t="s">
        <v>4</v>
      </c>
      <c r="F5" s="17" t="s">
        <v>5</v>
      </c>
      <c r="G5" s="19" t="s">
        <v>6</v>
      </c>
      <c r="H5" s="19"/>
      <c r="I5" s="18" t="s">
        <v>7</v>
      </c>
      <c r="J5" s="20" t="s">
        <v>8</v>
      </c>
      <c r="K5" s="18" t="s">
        <v>9</v>
      </c>
      <c r="L5" s="19" t="s">
        <v>10</v>
      </c>
      <c r="M5" s="21" t="s">
        <v>11</v>
      </c>
      <c r="N5" s="22" t="s">
        <v>10</v>
      </c>
      <c r="O5" s="23" t="s">
        <v>12</v>
      </c>
      <c r="P5" s="24" t="s">
        <v>13</v>
      </c>
      <c r="Q5" s="25"/>
    </row>
    <row r="6" spans="1:17" ht="15" thickBot="1" x14ac:dyDescent="0.4">
      <c r="A6" s="26"/>
      <c r="B6" s="27" t="s">
        <v>14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05"/>
      <c r="Q6" s="8"/>
    </row>
    <row r="7" spans="1:17" x14ac:dyDescent="0.35">
      <c r="A7" s="29">
        <v>1</v>
      </c>
      <c r="B7" s="96" t="s">
        <v>54</v>
      </c>
      <c r="C7" s="101"/>
      <c r="D7" s="99"/>
      <c r="E7" s="31"/>
      <c r="F7" s="123">
        <v>0.34989999999999999</v>
      </c>
      <c r="G7" s="33">
        <f>96332.46-4830-4969.3-1586</f>
        <v>84947.16</v>
      </c>
      <c r="H7" s="34"/>
      <c r="I7" s="32">
        <v>0.28000000000000003</v>
      </c>
      <c r="J7" s="30">
        <f>G7/(1-I7)</f>
        <v>117982.16666666667</v>
      </c>
      <c r="K7" s="35">
        <v>1</v>
      </c>
      <c r="L7" s="31">
        <f>J7*K7</f>
        <v>117982.16666666667</v>
      </c>
      <c r="M7" s="36">
        <f t="shared" ref="M7" si="0">G7*K7</f>
        <v>84947.16</v>
      </c>
      <c r="N7" s="37">
        <f>SUM(L7)</f>
        <v>117982.16666666667</v>
      </c>
      <c r="O7" s="37">
        <f>L7</f>
        <v>117982.16666666667</v>
      </c>
      <c r="P7" s="38">
        <f>SUM(N7:N16)</f>
        <v>128229.38888888889</v>
      </c>
      <c r="Q7" s="39"/>
    </row>
    <row r="8" spans="1:17" x14ac:dyDescent="0.35">
      <c r="A8" s="40"/>
      <c r="B8" s="97" t="s">
        <v>55</v>
      </c>
      <c r="C8" s="43"/>
      <c r="D8" s="100"/>
      <c r="E8" s="3"/>
      <c r="F8" s="124"/>
      <c r="G8" s="3"/>
      <c r="H8" s="4"/>
      <c r="I8" s="44"/>
      <c r="J8" s="45"/>
      <c r="K8" s="58"/>
      <c r="L8" s="3"/>
      <c r="M8" s="51"/>
      <c r="N8" s="46"/>
      <c r="O8" s="43"/>
      <c r="P8" s="28"/>
      <c r="Q8" s="47"/>
    </row>
    <row r="9" spans="1:17" x14ac:dyDescent="0.35">
      <c r="A9" s="40"/>
      <c r="B9" s="97" t="s">
        <v>56</v>
      </c>
      <c r="C9" s="43"/>
      <c r="D9" s="100"/>
      <c r="E9" s="3"/>
      <c r="F9" s="124"/>
      <c r="G9" s="3"/>
      <c r="H9" s="4"/>
      <c r="I9" s="44"/>
      <c r="J9" s="45"/>
      <c r="K9" s="58"/>
      <c r="L9" s="3"/>
      <c r="M9" s="51"/>
      <c r="N9" s="46"/>
      <c r="O9" s="43"/>
      <c r="P9" s="28"/>
      <c r="Q9" s="39"/>
    </row>
    <row r="10" spans="1:17" x14ac:dyDescent="0.35">
      <c r="A10" s="115"/>
      <c r="B10" s="97" t="s">
        <v>46</v>
      </c>
      <c r="C10" s="43"/>
      <c r="D10" s="100"/>
      <c r="E10" s="3"/>
      <c r="F10" s="124"/>
      <c r="G10" s="3"/>
      <c r="H10" s="4"/>
      <c r="I10" s="44"/>
      <c r="J10" s="45"/>
      <c r="K10" s="58"/>
      <c r="L10" s="3"/>
      <c r="M10" s="51"/>
      <c r="N10" s="46"/>
      <c r="O10" s="43"/>
      <c r="P10" s="28"/>
      <c r="Q10" s="39"/>
    </row>
    <row r="11" spans="1:17" x14ac:dyDescent="0.35">
      <c r="A11" s="115"/>
      <c r="B11" s="97" t="s">
        <v>57</v>
      </c>
      <c r="C11" s="43"/>
      <c r="D11" s="100"/>
      <c r="E11" s="3"/>
      <c r="F11" s="124"/>
      <c r="G11" s="3"/>
      <c r="H11" s="4"/>
      <c r="I11" s="44"/>
      <c r="J11" s="45"/>
      <c r="K11" s="58"/>
      <c r="L11" s="3"/>
      <c r="M11" s="51"/>
      <c r="N11" s="46"/>
      <c r="O11" s="43"/>
      <c r="P11" s="28"/>
      <c r="Q11" s="39"/>
    </row>
    <row r="12" spans="1:17" x14ac:dyDescent="0.35">
      <c r="A12" s="115"/>
      <c r="B12" s="97" t="s">
        <v>31</v>
      </c>
      <c r="C12" s="43"/>
      <c r="D12" s="100"/>
      <c r="E12" s="3"/>
      <c r="F12" s="124"/>
      <c r="G12" s="3"/>
      <c r="H12" s="4"/>
      <c r="I12" s="44"/>
      <c r="J12" s="45"/>
      <c r="K12" s="58"/>
      <c r="L12" s="3"/>
      <c r="M12" s="51"/>
      <c r="N12" s="46"/>
      <c r="O12" s="43"/>
      <c r="P12" s="28"/>
      <c r="Q12" s="39"/>
    </row>
    <row r="13" spans="1:17" x14ac:dyDescent="0.35">
      <c r="A13" s="115"/>
      <c r="B13" s="97" t="s">
        <v>38</v>
      </c>
      <c r="C13" s="43"/>
      <c r="D13" s="100"/>
      <c r="E13" s="3"/>
      <c r="F13" s="124"/>
      <c r="G13" s="3"/>
      <c r="H13" s="4"/>
      <c r="I13" s="44"/>
      <c r="J13" s="45"/>
      <c r="K13" s="58"/>
      <c r="L13" s="3"/>
      <c r="M13" s="51"/>
      <c r="N13" s="46"/>
      <c r="O13" s="43"/>
      <c r="P13" s="28"/>
      <c r="Q13" s="39"/>
    </row>
    <row r="14" spans="1:17" x14ac:dyDescent="0.35">
      <c r="A14" s="94"/>
      <c r="B14" s="97" t="s">
        <v>37</v>
      </c>
      <c r="C14" s="102"/>
      <c r="D14" s="102"/>
      <c r="E14" s="102"/>
      <c r="F14" s="125"/>
      <c r="G14" s="3"/>
      <c r="H14" s="94"/>
      <c r="I14" s="112"/>
      <c r="J14" s="103"/>
      <c r="K14" s="58"/>
      <c r="L14" s="3"/>
      <c r="M14" s="104"/>
      <c r="N14" s="46"/>
      <c r="O14" s="43"/>
      <c r="P14" s="28"/>
    </row>
    <row r="15" spans="1:17" x14ac:dyDescent="0.35">
      <c r="A15" s="94"/>
      <c r="B15" s="97" t="s">
        <v>45</v>
      </c>
      <c r="C15" s="102"/>
      <c r="D15" s="102"/>
      <c r="E15" s="102"/>
      <c r="F15" s="126"/>
      <c r="G15" s="3"/>
      <c r="I15" s="112"/>
      <c r="J15" s="45"/>
      <c r="K15" s="58"/>
      <c r="L15" s="3"/>
      <c r="M15" s="51"/>
      <c r="N15" s="46"/>
      <c r="O15" s="43"/>
      <c r="P15" s="28"/>
    </row>
    <row r="16" spans="1:17" ht="15" thickBot="1" x14ac:dyDescent="0.4">
      <c r="A16" s="61">
        <v>2</v>
      </c>
      <c r="B16" s="98" t="s">
        <v>58</v>
      </c>
      <c r="C16" s="95"/>
      <c r="D16" s="95"/>
      <c r="E16" s="95"/>
      <c r="F16" s="127"/>
      <c r="G16" s="106">
        <f>7378*1</f>
        <v>7378</v>
      </c>
      <c r="H16" s="64"/>
      <c r="I16" s="107">
        <v>0.28000000000000003</v>
      </c>
      <c r="J16" s="110">
        <f>G16/(1-I16)</f>
        <v>10247.222222222223</v>
      </c>
      <c r="K16" s="61">
        <v>1</v>
      </c>
      <c r="L16" s="106">
        <f>J16*K16</f>
        <v>10247.222222222223</v>
      </c>
      <c r="M16" s="109">
        <f t="shared" ref="M16" si="1">G16*K16</f>
        <v>7378</v>
      </c>
      <c r="N16" s="108">
        <f>SUM(L16)</f>
        <v>10247.222222222223</v>
      </c>
      <c r="O16" s="95">
        <f>L16</f>
        <v>10247.222222222223</v>
      </c>
      <c r="P16" s="111"/>
      <c r="Q16" s="8" t="s">
        <v>30</v>
      </c>
    </row>
    <row r="17" spans="1:17" ht="15" thickBot="1" x14ac:dyDescent="0.4">
      <c r="A17" s="54"/>
      <c r="B17" s="54" t="s">
        <v>47</v>
      </c>
      <c r="C17" s="54"/>
      <c r="D17" s="54"/>
      <c r="E17" s="54"/>
      <c r="F17" s="128"/>
      <c r="G17" s="54"/>
      <c r="H17" s="54"/>
      <c r="I17" s="54"/>
      <c r="J17" s="54"/>
      <c r="K17" s="54"/>
      <c r="L17" s="54"/>
      <c r="M17" s="54"/>
      <c r="N17" s="54"/>
      <c r="O17" s="54"/>
      <c r="P17" s="105"/>
      <c r="Q17" s="8"/>
    </row>
    <row r="18" spans="1:17" x14ac:dyDescent="0.35">
      <c r="A18" s="58"/>
      <c r="B18" s="55"/>
      <c r="C18" s="42"/>
      <c r="D18" s="43"/>
      <c r="E18" s="3"/>
      <c r="F18" s="124"/>
      <c r="G18" s="3"/>
      <c r="H18" s="4"/>
      <c r="I18" s="44"/>
      <c r="J18" s="45"/>
      <c r="K18" s="58"/>
      <c r="L18" s="3"/>
      <c r="M18" s="51"/>
      <c r="N18" s="46"/>
      <c r="O18" s="43"/>
      <c r="P18" s="28"/>
      <c r="Q18" s="8"/>
    </row>
    <row r="19" spans="1:17" x14ac:dyDescent="0.35">
      <c r="A19" s="29">
        <v>3</v>
      </c>
      <c r="B19" s="48" t="s">
        <v>51</v>
      </c>
      <c r="C19" s="52"/>
      <c r="D19" s="37"/>
      <c r="E19" s="33"/>
      <c r="F19" s="123">
        <v>0.34989999999999999</v>
      </c>
      <c r="G19" s="33">
        <v>4969.3</v>
      </c>
      <c r="H19" s="50"/>
      <c r="I19" s="49">
        <v>0.28000000000000003</v>
      </c>
      <c r="J19" s="53">
        <f>G19/(1-I19)</f>
        <v>6901.8055555555557</v>
      </c>
      <c r="K19" s="29">
        <v>1</v>
      </c>
      <c r="L19" s="33">
        <f>J19*K19</f>
        <v>6901.8055555555557</v>
      </c>
      <c r="M19" s="36">
        <f>SUM(G19*K19)</f>
        <v>4969.3</v>
      </c>
      <c r="N19" s="37">
        <f>SUM(L19)</f>
        <v>6901.8055555555557</v>
      </c>
      <c r="O19" s="37">
        <f>L19</f>
        <v>6901.8055555555557</v>
      </c>
      <c r="P19" s="38">
        <f>SUM(O19:O25)</f>
        <v>18812.916666666668</v>
      </c>
      <c r="Q19" s="8"/>
    </row>
    <row r="20" spans="1:17" x14ac:dyDescent="0.35">
      <c r="A20" s="58"/>
      <c r="B20" s="41"/>
      <c r="C20" s="42"/>
      <c r="D20" s="43"/>
      <c r="E20" s="3"/>
      <c r="F20" s="124"/>
      <c r="G20" s="3"/>
      <c r="H20" s="4"/>
      <c r="I20" s="44"/>
      <c r="J20" s="45"/>
      <c r="K20" s="58"/>
      <c r="L20" s="3"/>
      <c r="M20" s="51"/>
      <c r="N20" s="46"/>
      <c r="O20" s="43"/>
      <c r="P20" s="28"/>
      <c r="Q20" s="8"/>
    </row>
    <row r="21" spans="1:17" x14ac:dyDescent="0.35">
      <c r="A21" s="29">
        <v>4</v>
      </c>
      <c r="B21" s="48" t="s">
        <v>61</v>
      </c>
      <c r="C21" s="52"/>
      <c r="D21" s="37"/>
      <c r="E21" s="33"/>
      <c r="F21" s="123">
        <v>0.34989999999999999</v>
      </c>
      <c r="G21" s="33">
        <v>1586</v>
      </c>
      <c r="H21" s="50"/>
      <c r="I21" s="49">
        <v>0.28000000000000003</v>
      </c>
      <c r="J21" s="53">
        <f>G21/(1-I21)</f>
        <v>2202.7777777777778</v>
      </c>
      <c r="K21" s="29">
        <v>1</v>
      </c>
      <c r="L21" s="33">
        <f>J21*K21</f>
        <v>2202.7777777777778</v>
      </c>
      <c r="M21" s="36">
        <f>SUM(G21*K21)</f>
        <v>1586</v>
      </c>
      <c r="N21" s="37">
        <f>SUM(L21)</f>
        <v>2202.7777777777778</v>
      </c>
      <c r="O21" s="37">
        <f>L21</f>
        <v>2202.7777777777778</v>
      </c>
      <c r="P21" s="38"/>
      <c r="Q21" s="8"/>
    </row>
    <row r="22" spans="1:17" x14ac:dyDescent="0.35">
      <c r="A22" s="58"/>
      <c r="B22" s="41"/>
      <c r="C22" s="42"/>
      <c r="D22" s="43"/>
      <c r="E22" s="3"/>
      <c r="F22" s="124"/>
      <c r="G22" s="3"/>
      <c r="H22" s="4"/>
      <c r="I22" s="44"/>
      <c r="J22" s="45"/>
      <c r="K22" s="58"/>
      <c r="L22" s="3"/>
      <c r="M22" s="51"/>
      <c r="N22" s="46"/>
      <c r="O22" s="43"/>
      <c r="P22" s="28"/>
      <c r="Q22" s="8"/>
    </row>
    <row r="23" spans="1:17" x14ac:dyDescent="0.35">
      <c r="A23" s="29">
        <v>4</v>
      </c>
      <c r="B23" s="48" t="s">
        <v>52</v>
      </c>
      <c r="C23" s="52"/>
      <c r="D23" s="37"/>
      <c r="E23" s="33"/>
      <c r="F23" s="123">
        <v>0.34989999999999999</v>
      </c>
      <c r="G23" s="33">
        <v>4830</v>
      </c>
      <c r="H23" s="50"/>
      <c r="I23" s="49">
        <v>0.28000000000000003</v>
      </c>
      <c r="J23" s="53">
        <f>G23/(1-I23)</f>
        <v>6708.3333333333339</v>
      </c>
      <c r="K23" s="29">
        <v>1</v>
      </c>
      <c r="L23" s="33">
        <f>J23*K23</f>
        <v>6708.3333333333339</v>
      </c>
      <c r="M23" s="36">
        <f>SUM(G23*K23)</f>
        <v>4830</v>
      </c>
      <c r="N23" s="37">
        <f>SUM(L23)</f>
        <v>6708.3333333333339</v>
      </c>
      <c r="O23" s="37">
        <f>L23</f>
        <v>6708.3333333333339</v>
      </c>
      <c r="P23" s="38"/>
      <c r="Q23" s="39"/>
    </row>
    <row r="24" spans="1:17" x14ac:dyDescent="0.35">
      <c r="A24" s="58"/>
      <c r="B24" s="41"/>
      <c r="C24" s="42"/>
      <c r="D24" s="43"/>
      <c r="E24" s="3"/>
      <c r="F24" s="124"/>
      <c r="G24" s="3"/>
      <c r="H24" s="7"/>
      <c r="I24" s="118"/>
      <c r="J24" s="45"/>
      <c r="K24" s="58"/>
      <c r="L24" s="3"/>
      <c r="M24" s="51"/>
      <c r="N24" s="46"/>
      <c r="O24" s="43"/>
      <c r="P24" s="28"/>
      <c r="Q24" s="39"/>
    </row>
    <row r="25" spans="1:17" x14ac:dyDescent="0.35">
      <c r="A25" s="121">
        <v>5</v>
      </c>
      <c r="B25" s="48" t="s">
        <v>48</v>
      </c>
      <c r="C25" s="37"/>
      <c r="D25" s="37"/>
      <c r="E25" s="37"/>
      <c r="F25" s="123">
        <v>0.34989999999999999</v>
      </c>
      <c r="G25" s="33">
        <f>J25*(1-I25)</f>
        <v>2160</v>
      </c>
      <c r="H25" s="121"/>
      <c r="I25" s="49">
        <v>0.28000000000000003</v>
      </c>
      <c r="J25" s="122">
        <f>(125*16)+1000</f>
        <v>3000</v>
      </c>
      <c r="K25" s="29">
        <v>1</v>
      </c>
      <c r="L25" s="33">
        <f>J25*K25</f>
        <v>3000</v>
      </c>
      <c r="M25" s="36">
        <f>SUM(G25*K25)</f>
        <v>2160</v>
      </c>
      <c r="N25" s="37">
        <f>SUM(L25)</f>
        <v>3000</v>
      </c>
      <c r="O25" s="37">
        <f>L25</f>
        <v>3000</v>
      </c>
      <c r="P25" s="38"/>
      <c r="Q25" s="39"/>
    </row>
    <row r="26" spans="1:17" ht="15" thickBot="1" x14ac:dyDescent="0.4">
      <c r="A26" s="117"/>
      <c r="B26" s="41"/>
      <c r="C26" s="95"/>
      <c r="D26" s="95"/>
      <c r="E26" s="95"/>
      <c r="F26" s="129"/>
      <c r="G26" s="3"/>
      <c r="H26" s="117"/>
      <c r="I26" s="107"/>
      <c r="J26" s="119"/>
      <c r="K26" s="61"/>
      <c r="L26" s="95"/>
      <c r="M26" s="120"/>
      <c r="N26" s="108"/>
      <c r="O26" s="95"/>
      <c r="P26" s="116"/>
      <c r="Q26" s="39"/>
    </row>
    <row r="27" spans="1:17" ht="15" thickBot="1" x14ac:dyDescent="0.4">
      <c r="A27" s="54"/>
      <c r="B27" s="54" t="s">
        <v>15</v>
      </c>
      <c r="C27" s="54"/>
      <c r="D27" s="54"/>
      <c r="E27" s="54"/>
      <c r="F27" s="128"/>
      <c r="G27" s="54"/>
      <c r="H27" s="54"/>
      <c r="I27" s="54"/>
      <c r="J27" s="54"/>
      <c r="K27" s="54"/>
      <c r="L27" s="54"/>
      <c r="M27" s="54"/>
      <c r="N27" s="54"/>
      <c r="O27" s="54"/>
      <c r="P27" s="105"/>
      <c r="Q27" s="8"/>
    </row>
    <row r="28" spans="1:17" ht="15" thickBot="1" x14ac:dyDescent="0.4">
      <c r="A28" s="58"/>
      <c r="B28" s="55"/>
      <c r="C28" s="42"/>
      <c r="D28" s="43"/>
      <c r="E28" s="3"/>
      <c r="F28" s="124"/>
      <c r="G28" s="3"/>
      <c r="H28" s="4"/>
      <c r="I28" s="44"/>
      <c r="J28" s="45"/>
      <c r="K28" s="58"/>
      <c r="L28" s="3"/>
      <c r="M28" s="51"/>
      <c r="N28" s="46"/>
      <c r="O28" s="43"/>
      <c r="P28" s="28"/>
      <c r="Q28" s="8"/>
    </row>
    <row r="29" spans="1:17" ht="15" thickBot="1" x14ac:dyDescent="0.4">
      <c r="A29" s="58"/>
      <c r="B29" s="56" t="s">
        <v>16</v>
      </c>
      <c r="C29" s="42"/>
      <c r="D29" s="43"/>
      <c r="E29" s="3"/>
      <c r="F29" s="124"/>
      <c r="G29" s="3"/>
      <c r="H29" s="4"/>
      <c r="I29" s="44"/>
      <c r="J29" s="45"/>
      <c r="K29" s="58"/>
      <c r="L29" s="3"/>
      <c r="M29" s="51"/>
      <c r="N29" s="46"/>
      <c r="O29" s="43"/>
      <c r="P29" s="28"/>
      <c r="Q29" s="8"/>
    </row>
    <row r="30" spans="1:17" x14ac:dyDescent="0.35">
      <c r="A30" s="29">
        <v>6</v>
      </c>
      <c r="B30" s="48" t="s">
        <v>59</v>
      </c>
      <c r="C30" s="52"/>
      <c r="D30" s="37"/>
      <c r="E30" s="33"/>
      <c r="F30" s="123"/>
      <c r="G30" s="33">
        <f>J30*(1-I30)</f>
        <v>17568</v>
      </c>
      <c r="H30" s="50"/>
      <c r="I30" s="49">
        <v>0.28000000000000003</v>
      </c>
      <c r="J30" s="53">
        <v>24400</v>
      </c>
      <c r="K30" s="29">
        <v>1</v>
      </c>
      <c r="L30" s="33">
        <f>J30*K30</f>
        <v>24400</v>
      </c>
      <c r="M30" s="36">
        <f>SUM(G30*K30)</f>
        <v>17568</v>
      </c>
      <c r="N30" s="37">
        <f>SUM(L30)</f>
        <v>24400</v>
      </c>
      <c r="O30" s="37">
        <f>L30</f>
        <v>24400</v>
      </c>
      <c r="P30" s="38">
        <f>N30</f>
        <v>24400</v>
      </c>
      <c r="Q30" s="8" t="s">
        <v>60</v>
      </c>
    </row>
    <row r="31" spans="1:17" x14ac:dyDescent="0.35">
      <c r="A31" s="58"/>
      <c r="B31" s="41" t="s">
        <v>44</v>
      </c>
      <c r="C31" s="42"/>
      <c r="D31" s="43"/>
      <c r="E31" s="3"/>
      <c r="F31" s="124"/>
      <c r="G31" s="3"/>
      <c r="H31" s="4"/>
      <c r="I31" s="44"/>
      <c r="J31" s="45"/>
      <c r="K31" s="58"/>
      <c r="L31" s="3"/>
      <c r="M31" s="51"/>
      <c r="N31" s="46"/>
      <c r="O31" s="43"/>
      <c r="P31" s="28"/>
      <c r="Q31" s="8"/>
    </row>
    <row r="32" spans="1:17" x14ac:dyDescent="0.35">
      <c r="A32" s="58"/>
      <c r="B32" s="41"/>
      <c r="C32" s="42"/>
      <c r="D32" s="43"/>
      <c r="E32" s="3"/>
      <c r="F32" s="124"/>
      <c r="G32" s="3"/>
      <c r="H32" s="4"/>
      <c r="I32" s="44"/>
      <c r="J32" s="45"/>
      <c r="K32" s="58"/>
      <c r="L32" s="3"/>
      <c r="M32" s="51"/>
      <c r="N32" s="46"/>
      <c r="O32" s="43"/>
      <c r="P32" s="28"/>
      <c r="Q32" s="8"/>
    </row>
    <row r="33" spans="1:17" x14ac:dyDescent="0.35">
      <c r="A33" s="29">
        <v>7</v>
      </c>
      <c r="B33" s="48" t="s">
        <v>17</v>
      </c>
      <c r="C33" s="52"/>
      <c r="D33" s="37"/>
      <c r="E33" s="33"/>
      <c r="F33" s="123"/>
      <c r="G33" s="33">
        <v>3850</v>
      </c>
      <c r="H33" s="50"/>
      <c r="I33" s="49">
        <v>0.28000000000000003</v>
      </c>
      <c r="J33" s="53">
        <f>G33/(1-I33)</f>
        <v>5347.2222222222226</v>
      </c>
      <c r="K33" s="29">
        <v>1</v>
      </c>
      <c r="L33" s="33">
        <f>J33*K33</f>
        <v>5347.2222222222226</v>
      </c>
      <c r="M33" s="36">
        <f>SUM(G33*K33)</f>
        <v>3850</v>
      </c>
      <c r="N33" s="37">
        <f>SUM(L33)</f>
        <v>5347.2222222222226</v>
      </c>
      <c r="O33" s="37">
        <f>L33</f>
        <v>5347.2222222222226</v>
      </c>
      <c r="P33" s="38">
        <f>N33</f>
        <v>5347.2222222222226</v>
      </c>
      <c r="Q33" s="39"/>
    </row>
    <row r="34" spans="1:17" ht="15" thickBot="1" x14ac:dyDescent="0.4">
      <c r="A34" s="58"/>
      <c r="B34" s="41"/>
      <c r="C34" s="42"/>
      <c r="D34" s="43"/>
      <c r="E34" s="3"/>
      <c r="F34" s="124"/>
      <c r="G34" s="3"/>
      <c r="H34" s="4"/>
      <c r="I34" s="44"/>
      <c r="J34" s="45"/>
      <c r="K34" s="58"/>
      <c r="L34" s="3"/>
      <c r="M34" s="51"/>
      <c r="N34" s="46"/>
      <c r="O34" s="43"/>
      <c r="P34" s="28"/>
      <c r="Q34" s="39"/>
    </row>
    <row r="35" spans="1:17" ht="15" thickBot="1" x14ac:dyDescent="0.4">
      <c r="A35" s="54"/>
      <c r="B35" s="54" t="s">
        <v>50</v>
      </c>
      <c r="C35" s="54"/>
      <c r="D35" s="54"/>
      <c r="E35" s="54"/>
      <c r="F35" s="128"/>
      <c r="G35" s="54"/>
      <c r="H35" s="54"/>
      <c r="I35" s="54"/>
      <c r="J35" s="54"/>
      <c r="K35" s="54"/>
      <c r="L35" s="54"/>
      <c r="M35" s="54"/>
      <c r="N35" s="54"/>
      <c r="O35" s="54"/>
      <c r="P35" s="105"/>
      <c r="Q35" s="39"/>
    </row>
    <row r="36" spans="1:17" x14ac:dyDescent="0.35">
      <c r="A36" s="40"/>
      <c r="B36" s="41"/>
      <c r="C36" s="42"/>
      <c r="D36" s="43"/>
      <c r="E36" s="3"/>
      <c r="F36" s="124"/>
      <c r="G36" s="3"/>
      <c r="H36" s="4"/>
      <c r="I36" s="44"/>
      <c r="J36" s="45"/>
      <c r="K36" s="58"/>
      <c r="L36" s="3"/>
      <c r="M36" s="104"/>
      <c r="N36" s="57"/>
      <c r="O36" s="43"/>
      <c r="P36" s="28"/>
      <c r="Q36" s="39"/>
    </row>
    <row r="37" spans="1:17" x14ac:dyDescent="0.35">
      <c r="A37" s="40"/>
      <c r="B37" s="41" t="s">
        <v>49</v>
      </c>
      <c r="C37" s="42">
        <v>1535</v>
      </c>
      <c r="D37" s="43"/>
      <c r="E37" s="3">
        <f>C37</f>
        <v>1535</v>
      </c>
      <c r="F37" s="124">
        <v>0.34989999999999999</v>
      </c>
      <c r="G37" s="3">
        <f>E37*(1-F37)</f>
        <v>997.90350000000001</v>
      </c>
      <c r="H37" s="4"/>
      <c r="I37" s="44">
        <v>0.28000000000000003</v>
      </c>
      <c r="J37" s="103">
        <f>G37/(1-I37)</f>
        <v>1385.9770833333334</v>
      </c>
      <c r="K37" s="58">
        <v>1</v>
      </c>
      <c r="L37" s="3">
        <f>J37*K37</f>
        <v>1385.9770833333334</v>
      </c>
      <c r="M37" s="104"/>
      <c r="N37" s="57"/>
      <c r="O37" s="43"/>
      <c r="P37" s="28"/>
      <c r="Q37" s="39" t="s">
        <v>36</v>
      </c>
    </row>
    <row r="38" spans="1:17" x14ac:dyDescent="0.35">
      <c r="A38" s="40"/>
      <c r="B38" s="41"/>
      <c r="C38" s="42"/>
      <c r="D38" s="43"/>
      <c r="E38" s="3"/>
      <c r="F38" s="124"/>
      <c r="G38" s="3"/>
      <c r="H38" s="4"/>
      <c r="I38" s="44"/>
      <c r="J38" s="45"/>
      <c r="K38" s="58"/>
      <c r="L38" s="3"/>
      <c r="M38" s="104"/>
      <c r="N38" s="57"/>
      <c r="O38" s="43"/>
      <c r="P38" s="28"/>
      <c r="Q38" s="39"/>
    </row>
    <row r="39" spans="1:17" x14ac:dyDescent="0.35">
      <c r="A39" s="40"/>
      <c r="B39" s="41" t="s">
        <v>33</v>
      </c>
      <c r="C39" s="42">
        <v>1986</v>
      </c>
      <c r="D39" s="43"/>
      <c r="E39" s="3">
        <f>C39</f>
        <v>1986</v>
      </c>
      <c r="F39" s="124">
        <v>0.34989999999999999</v>
      </c>
      <c r="G39" s="3">
        <f>E39*(1-F39)</f>
        <v>1291.0986</v>
      </c>
      <c r="H39" s="4"/>
      <c r="I39" s="44">
        <v>0.28000000000000003</v>
      </c>
      <c r="J39" s="103">
        <f>G39/(1-I39)</f>
        <v>1793.1925000000001</v>
      </c>
      <c r="K39" s="58">
        <v>1</v>
      </c>
      <c r="L39" s="3">
        <f>J39*K39</f>
        <v>1793.1925000000001</v>
      </c>
      <c r="M39" s="104"/>
      <c r="N39" s="57"/>
      <c r="O39" s="43"/>
      <c r="P39" s="28"/>
      <c r="Q39" s="39" t="s">
        <v>36</v>
      </c>
    </row>
    <row r="40" spans="1:17" x14ac:dyDescent="0.35">
      <c r="A40" s="40"/>
      <c r="B40" s="41"/>
      <c r="C40" s="42"/>
      <c r="D40" s="43"/>
      <c r="E40" s="3"/>
      <c r="F40" s="124"/>
      <c r="G40" s="3"/>
      <c r="H40" s="4"/>
      <c r="I40" s="44"/>
      <c r="J40" s="45"/>
      <c r="K40" s="58"/>
      <c r="L40" s="3"/>
      <c r="M40" s="104"/>
      <c r="N40" s="57"/>
      <c r="O40" s="43"/>
      <c r="P40" s="28"/>
      <c r="Q40" s="39"/>
    </row>
    <row r="41" spans="1:17" x14ac:dyDescent="0.35">
      <c r="A41" s="40"/>
      <c r="B41" s="41" t="s">
        <v>41</v>
      </c>
      <c r="C41" s="42">
        <v>3323</v>
      </c>
      <c r="D41" s="43"/>
      <c r="E41" s="3">
        <f>C41</f>
        <v>3323</v>
      </c>
      <c r="F41" s="124">
        <v>0.34989999999999999</v>
      </c>
      <c r="G41" s="3">
        <f>E41*(1-F41)</f>
        <v>2160.2822999999999</v>
      </c>
      <c r="H41" s="4"/>
      <c r="I41" s="44">
        <v>0.28000000000000003</v>
      </c>
      <c r="J41" s="103">
        <f>G41/(1-I41)</f>
        <v>3000.3920833333332</v>
      </c>
      <c r="K41" s="58">
        <v>1</v>
      </c>
      <c r="L41" s="3">
        <f>J41*K41</f>
        <v>3000.3920833333332</v>
      </c>
      <c r="M41" s="104"/>
      <c r="N41" s="57"/>
      <c r="O41" s="43"/>
      <c r="P41" s="28"/>
      <c r="Q41" s="39" t="s">
        <v>36</v>
      </c>
    </row>
    <row r="42" spans="1:17" x14ac:dyDescent="0.35">
      <c r="A42" s="40"/>
      <c r="B42" s="41"/>
      <c r="C42" s="42"/>
      <c r="D42" s="43"/>
      <c r="E42" s="3"/>
      <c r="F42" s="124"/>
      <c r="G42" s="3"/>
      <c r="H42" s="4"/>
      <c r="I42" s="44"/>
      <c r="J42" s="45"/>
      <c r="K42" s="58"/>
      <c r="L42" s="3"/>
      <c r="M42" s="104"/>
      <c r="N42" s="57"/>
      <c r="O42" s="43"/>
      <c r="P42" s="28"/>
      <c r="Q42" s="39"/>
    </row>
    <row r="43" spans="1:17" x14ac:dyDescent="0.35">
      <c r="A43" s="40"/>
      <c r="B43" s="41" t="s">
        <v>32</v>
      </c>
      <c r="C43" s="42">
        <v>1122</v>
      </c>
      <c r="D43" s="43"/>
      <c r="E43" s="3">
        <f>C43</f>
        <v>1122</v>
      </c>
      <c r="F43" s="124">
        <v>0.34989999999999999</v>
      </c>
      <c r="G43" s="3">
        <f>E43*(1-F43)</f>
        <v>729.41219999999998</v>
      </c>
      <c r="H43" s="4"/>
      <c r="I43" s="44">
        <v>0.28000000000000003</v>
      </c>
      <c r="J43" s="103">
        <f>G43/(1-I43)</f>
        <v>1013.0725</v>
      </c>
      <c r="K43" s="58">
        <v>1</v>
      </c>
      <c r="L43" s="3">
        <f>J43*K43</f>
        <v>1013.0725</v>
      </c>
      <c r="M43" s="104"/>
      <c r="N43" s="57"/>
      <c r="O43" s="43"/>
      <c r="P43" s="28"/>
      <c r="Q43" s="39" t="s">
        <v>36</v>
      </c>
    </row>
    <row r="44" spans="1:17" x14ac:dyDescent="0.35">
      <c r="A44" s="40"/>
      <c r="B44" s="41"/>
      <c r="C44" s="42"/>
      <c r="D44" s="43"/>
      <c r="E44" s="3"/>
      <c r="F44" s="124"/>
      <c r="G44" s="3"/>
      <c r="H44" s="4"/>
      <c r="I44" s="44"/>
      <c r="J44" s="45"/>
      <c r="K44" s="58"/>
      <c r="L44" s="3"/>
      <c r="M44" s="104"/>
      <c r="N44" s="57"/>
      <c r="O44" s="43"/>
      <c r="P44" s="28"/>
      <c r="Q44" s="39"/>
    </row>
    <row r="45" spans="1:17" x14ac:dyDescent="0.35">
      <c r="A45" s="40"/>
      <c r="B45" s="41" t="s">
        <v>43</v>
      </c>
      <c r="C45" s="42">
        <v>672</v>
      </c>
      <c r="D45" s="43"/>
      <c r="E45" s="3">
        <f>C45</f>
        <v>672</v>
      </c>
      <c r="F45" s="124">
        <v>0.34989999999999999</v>
      </c>
      <c r="G45" s="3">
        <f>E45*(1-F45)</f>
        <v>436.86720000000003</v>
      </c>
      <c r="H45" s="4"/>
      <c r="I45" s="44">
        <v>0.28000000000000003</v>
      </c>
      <c r="J45" s="103">
        <f>G45/(1-I45)</f>
        <v>606.7600000000001</v>
      </c>
      <c r="K45" s="58">
        <v>1</v>
      </c>
      <c r="L45" s="3">
        <f>J45*K45</f>
        <v>606.7600000000001</v>
      </c>
      <c r="M45" s="104"/>
      <c r="N45" s="57"/>
      <c r="O45" s="43"/>
      <c r="P45" s="28"/>
      <c r="Q45" s="39" t="s">
        <v>36</v>
      </c>
    </row>
    <row r="46" spans="1:17" x14ac:dyDescent="0.35">
      <c r="A46" s="40"/>
      <c r="B46" s="41"/>
      <c r="C46" s="42"/>
      <c r="D46" s="43"/>
      <c r="E46" s="3"/>
      <c r="F46" s="124"/>
      <c r="G46" s="3"/>
      <c r="H46" s="4"/>
      <c r="I46" s="44"/>
      <c r="J46" s="45"/>
      <c r="K46" s="58"/>
      <c r="L46" s="3"/>
      <c r="M46" s="104"/>
      <c r="N46" s="57"/>
      <c r="O46" s="43"/>
      <c r="P46" s="28"/>
      <c r="Q46" s="39"/>
    </row>
    <row r="47" spans="1:17" x14ac:dyDescent="0.35">
      <c r="A47" s="40"/>
      <c r="B47" s="41" t="s">
        <v>62</v>
      </c>
      <c r="C47" s="42">
        <v>1329</v>
      </c>
      <c r="D47" s="43"/>
      <c r="E47" s="3">
        <f>C47</f>
        <v>1329</v>
      </c>
      <c r="F47" s="124">
        <v>0.34989999999999999</v>
      </c>
      <c r="G47" s="3">
        <f>E47*(1-F47)</f>
        <v>863.98289999999997</v>
      </c>
      <c r="H47" s="4"/>
      <c r="I47" s="44">
        <v>0.28000000000000003</v>
      </c>
      <c r="J47" s="103">
        <f>G47/(1-I47)</f>
        <v>1199.9762499999999</v>
      </c>
      <c r="K47" s="58">
        <v>1</v>
      </c>
      <c r="L47" s="3">
        <f>J47*K47</f>
        <v>1199.9762499999999</v>
      </c>
      <c r="M47" s="104"/>
      <c r="N47" s="57"/>
      <c r="O47" s="43"/>
      <c r="P47" s="28"/>
      <c r="Q47" s="39" t="s">
        <v>36</v>
      </c>
    </row>
    <row r="48" spans="1:17" x14ac:dyDescent="0.35">
      <c r="A48" s="40"/>
      <c r="B48" s="41"/>
      <c r="C48" s="42"/>
      <c r="D48" s="43"/>
      <c r="E48" s="3"/>
      <c r="F48" s="124"/>
      <c r="G48" s="3"/>
      <c r="H48" s="4"/>
      <c r="I48" s="44"/>
      <c r="J48" s="45"/>
      <c r="K48" s="58"/>
      <c r="L48" s="3"/>
      <c r="M48" s="104"/>
      <c r="N48" s="57"/>
      <c r="O48" s="43"/>
      <c r="P48" s="28"/>
      <c r="Q48" s="39"/>
    </row>
    <row r="49" spans="1:17" x14ac:dyDescent="0.35">
      <c r="A49" s="40"/>
      <c r="B49" s="41" t="s">
        <v>42</v>
      </c>
      <c r="C49" s="42">
        <v>1939</v>
      </c>
      <c r="D49" s="43"/>
      <c r="E49" s="3">
        <f>C49</f>
        <v>1939</v>
      </c>
      <c r="F49" s="124">
        <v>0.34989999999999999</v>
      </c>
      <c r="G49" s="3">
        <f>E49*(1-F49)</f>
        <v>1260.5439000000001</v>
      </c>
      <c r="H49" s="4"/>
      <c r="I49" s="44">
        <v>0.28000000000000003</v>
      </c>
      <c r="J49" s="103">
        <f>G49/(1-I49)</f>
        <v>1750.7554166666669</v>
      </c>
      <c r="K49" s="58">
        <v>1</v>
      </c>
      <c r="L49" s="3">
        <f>J49*K49</f>
        <v>1750.7554166666669</v>
      </c>
      <c r="M49" s="104"/>
      <c r="N49" s="57"/>
      <c r="O49" s="43"/>
      <c r="P49" s="28"/>
      <c r="Q49" s="39" t="s">
        <v>36</v>
      </c>
    </row>
    <row r="50" spans="1:17" x14ac:dyDescent="0.35">
      <c r="A50" s="40"/>
      <c r="B50" s="41"/>
      <c r="C50" s="42"/>
      <c r="D50" s="43"/>
      <c r="E50" s="3"/>
      <c r="F50" s="124"/>
      <c r="G50" s="3"/>
      <c r="H50" s="4"/>
      <c r="I50" s="44"/>
      <c r="J50" s="45"/>
      <c r="K50" s="58"/>
      <c r="L50" s="3"/>
      <c r="M50" s="104"/>
      <c r="N50" s="57"/>
      <c r="O50" s="43"/>
      <c r="P50" s="28"/>
      <c r="Q50" s="39"/>
    </row>
    <row r="51" spans="1:17" x14ac:dyDescent="0.35">
      <c r="A51" s="40"/>
      <c r="B51" s="41" t="s">
        <v>34</v>
      </c>
      <c r="C51" s="42">
        <v>10490</v>
      </c>
      <c r="D51" s="43"/>
      <c r="E51" s="3">
        <f>C51</f>
        <v>10490</v>
      </c>
      <c r="F51" s="124">
        <v>0.34989999999999999</v>
      </c>
      <c r="G51" s="3">
        <f>E51*(1-F51)</f>
        <v>6819.549</v>
      </c>
      <c r="H51" s="4"/>
      <c r="I51" s="44">
        <v>0.28000000000000003</v>
      </c>
      <c r="J51" s="103">
        <f>G51/(1-I51)</f>
        <v>9471.5958333333328</v>
      </c>
      <c r="K51" s="58">
        <v>1</v>
      </c>
      <c r="L51" s="3">
        <f>J51*K51</f>
        <v>9471.5958333333328</v>
      </c>
      <c r="M51" s="104"/>
      <c r="N51" s="57"/>
      <c r="O51" s="43"/>
      <c r="P51" s="28"/>
      <c r="Q51" s="39" t="s">
        <v>36</v>
      </c>
    </row>
    <row r="52" spans="1:17" x14ac:dyDescent="0.35">
      <c r="A52" s="40"/>
      <c r="B52" s="41"/>
      <c r="C52" s="42"/>
      <c r="D52" s="43"/>
      <c r="E52" s="3"/>
      <c r="F52" s="124"/>
      <c r="G52" s="3"/>
      <c r="H52" s="4"/>
      <c r="I52" s="44"/>
      <c r="J52" s="45"/>
      <c r="K52" s="58"/>
      <c r="L52" s="3"/>
      <c r="M52" s="104"/>
      <c r="N52" s="57"/>
      <c r="O52" s="43"/>
      <c r="P52" s="28"/>
      <c r="Q52" s="39"/>
    </row>
    <row r="53" spans="1:17" x14ac:dyDescent="0.35">
      <c r="A53" s="40"/>
      <c r="B53" s="41" t="s">
        <v>35</v>
      </c>
      <c r="C53" s="42">
        <v>18564</v>
      </c>
      <c r="D53" s="43"/>
      <c r="E53" s="3">
        <f>C53</f>
        <v>18564</v>
      </c>
      <c r="F53" s="124">
        <v>0.34989999999999999</v>
      </c>
      <c r="G53" s="3">
        <f>E53*(1-F53)</f>
        <v>12068.456400000001</v>
      </c>
      <c r="H53" s="4"/>
      <c r="I53" s="44">
        <v>0.28000000000000003</v>
      </c>
      <c r="J53" s="103">
        <f>G53/(1-I53)</f>
        <v>16761.745000000003</v>
      </c>
      <c r="K53" s="58">
        <v>1</v>
      </c>
      <c r="L53" s="3">
        <f>J53*K53</f>
        <v>16761.745000000003</v>
      </c>
      <c r="M53" s="104"/>
      <c r="N53" s="57"/>
      <c r="O53" s="43"/>
      <c r="P53" s="28"/>
      <c r="Q53" s="39" t="s">
        <v>36</v>
      </c>
    </row>
    <row r="54" spans="1:17" x14ac:dyDescent="0.35">
      <c r="A54" s="40"/>
      <c r="B54" s="41"/>
      <c r="C54" s="42"/>
      <c r="D54" s="43"/>
      <c r="E54" s="3"/>
      <c r="F54" s="124"/>
      <c r="G54" s="3"/>
      <c r="H54" s="4"/>
      <c r="I54" s="44"/>
      <c r="J54" s="45"/>
      <c r="K54" s="58"/>
      <c r="L54" s="3"/>
      <c r="M54" s="104"/>
      <c r="N54" s="57"/>
      <c r="O54" s="43"/>
      <c r="P54" s="28"/>
      <c r="Q54" s="39"/>
    </row>
    <row r="55" spans="1:17" x14ac:dyDescent="0.35">
      <c r="A55" s="40"/>
      <c r="B55" s="41" t="s">
        <v>63</v>
      </c>
      <c r="C55" s="42">
        <v>5000</v>
      </c>
      <c r="D55" s="43"/>
      <c r="E55" s="3">
        <f>C55</f>
        <v>5000</v>
      </c>
      <c r="F55" s="124">
        <v>0.34989999999999999</v>
      </c>
      <c r="G55" s="3">
        <f>E55*(1-F55)</f>
        <v>3250.5</v>
      </c>
      <c r="H55" s="4"/>
      <c r="I55" s="44">
        <v>0.28000000000000003</v>
      </c>
      <c r="J55" s="103">
        <f>G55/(1-I55)</f>
        <v>4514.5833333333339</v>
      </c>
      <c r="K55" s="58">
        <v>1</v>
      </c>
      <c r="L55" s="3">
        <f>J55*K55</f>
        <v>4514.5833333333339</v>
      </c>
      <c r="M55" s="104"/>
      <c r="N55" s="57"/>
      <c r="O55" s="43"/>
      <c r="P55" s="28"/>
      <c r="Q55" s="39" t="s">
        <v>36</v>
      </c>
    </row>
    <row r="56" spans="1:17" x14ac:dyDescent="0.35">
      <c r="A56" s="40"/>
      <c r="B56" s="41"/>
      <c r="C56" s="42"/>
      <c r="D56" s="43"/>
      <c r="E56" s="3"/>
      <c r="F56" s="124"/>
      <c r="G56" s="3"/>
      <c r="H56" s="4"/>
      <c r="I56" s="44"/>
      <c r="J56" s="45"/>
      <c r="K56" s="58"/>
      <c r="L56" s="3"/>
      <c r="M56" s="104"/>
      <c r="N56" s="57"/>
      <c r="O56" s="43"/>
      <c r="P56" s="28"/>
      <c r="Q56" s="39"/>
    </row>
    <row r="57" spans="1:17" x14ac:dyDescent="0.35">
      <c r="A57" s="40"/>
      <c r="B57" s="41" t="s">
        <v>64</v>
      </c>
      <c r="C57" s="42">
        <v>8250</v>
      </c>
      <c r="D57" s="43"/>
      <c r="E57" s="3">
        <f>C57</f>
        <v>8250</v>
      </c>
      <c r="F57" s="124">
        <v>0.34989999999999999</v>
      </c>
      <c r="G57" s="3">
        <f>E57*(1-F57)</f>
        <v>5363.3249999999998</v>
      </c>
      <c r="H57" s="4"/>
      <c r="I57" s="44">
        <v>0.28000000000000003</v>
      </c>
      <c r="J57" s="103">
        <f>G57/(1-I57)</f>
        <v>7449.0625</v>
      </c>
      <c r="K57" s="58">
        <v>1</v>
      </c>
      <c r="L57" s="3">
        <f>J57*K57</f>
        <v>7449.0625</v>
      </c>
      <c r="M57" s="104"/>
      <c r="N57" s="57"/>
      <c r="O57" s="43"/>
      <c r="P57" s="28"/>
      <c r="Q57" s="39" t="s">
        <v>36</v>
      </c>
    </row>
    <row r="58" spans="1:17" x14ac:dyDescent="0.35">
      <c r="A58" s="40"/>
      <c r="B58" s="41"/>
      <c r="C58" s="42"/>
      <c r="D58" s="43"/>
      <c r="E58" s="3"/>
      <c r="F58" s="124"/>
      <c r="G58" s="3"/>
      <c r="H58" s="4"/>
      <c r="I58" s="44"/>
      <c r="J58" s="45"/>
      <c r="K58" s="58"/>
      <c r="L58" s="3"/>
      <c r="M58" s="104"/>
      <c r="N58" s="57"/>
      <c r="O58" s="43"/>
      <c r="P58" s="28"/>
      <c r="Q58" s="39"/>
    </row>
    <row r="59" spans="1:17" x14ac:dyDescent="0.35">
      <c r="A59" s="40"/>
      <c r="B59" s="41" t="s">
        <v>65</v>
      </c>
      <c r="C59" s="42" t="s">
        <v>66</v>
      </c>
      <c r="D59" s="43"/>
      <c r="E59" s="3"/>
      <c r="F59" s="124"/>
      <c r="G59" s="3"/>
      <c r="H59" s="4"/>
      <c r="I59" s="44"/>
      <c r="J59" s="45"/>
      <c r="K59" s="58"/>
      <c r="L59" s="3"/>
      <c r="M59" s="104"/>
      <c r="N59" s="57"/>
      <c r="O59" s="43"/>
      <c r="P59" s="28"/>
      <c r="Q59" s="39"/>
    </row>
    <row r="60" spans="1:17" x14ac:dyDescent="0.35">
      <c r="A60" s="40"/>
      <c r="B60" s="41"/>
      <c r="C60" s="42"/>
      <c r="D60" s="43"/>
      <c r="E60" s="3"/>
      <c r="F60" s="124"/>
      <c r="G60" s="3"/>
      <c r="H60" s="4"/>
      <c r="I60" s="44"/>
      <c r="J60" s="45"/>
      <c r="K60" s="58"/>
      <c r="L60" s="3"/>
      <c r="M60" s="104"/>
      <c r="N60" s="57"/>
      <c r="O60" s="43"/>
      <c r="P60" s="28"/>
      <c r="Q60" s="39"/>
    </row>
    <row r="61" spans="1:17" x14ac:dyDescent="0.35">
      <c r="A61" s="40"/>
      <c r="B61" s="41" t="s">
        <v>67</v>
      </c>
      <c r="C61" s="42" t="s">
        <v>66</v>
      </c>
      <c r="D61" s="43"/>
      <c r="E61" s="3"/>
      <c r="F61" s="124"/>
      <c r="G61" s="3"/>
      <c r="H61" s="4"/>
      <c r="I61" s="44"/>
      <c r="J61" s="45"/>
      <c r="K61" s="58"/>
      <c r="L61" s="3"/>
      <c r="M61" s="104"/>
      <c r="N61" s="57"/>
      <c r="O61" s="43"/>
      <c r="P61" s="28"/>
      <c r="Q61" s="39"/>
    </row>
    <row r="62" spans="1:17" x14ac:dyDescent="0.35">
      <c r="A62" s="40"/>
      <c r="B62" s="41"/>
      <c r="C62" s="42"/>
      <c r="D62" s="43"/>
      <c r="E62" s="3"/>
      <c r="F62" s="124"/>
      <c r="G62" s="3"/>
      <c r="H62" s="4"/>
      <c r="I62" s="44"/>
      <c r="J62" s="45"/>
      <c r="K62" s="58"/>
      <c r="L62" s="3"/>
      <c r="M62" s="104"/>
      <c r="N62" s="57"/>
      <c r="O62" s="43"/>
      <c r="P62" s="28"/>
      <c r="Q62" s="39"/>
    </row>
    <row r="63" spans="1:17" ht="15" thickBot="1" x14ac:dyDescent="0.4">
      <c r="A63" s="58"/>
      <c r="B63" s="41"/>
      <c r="C63" s="42"/>
      <c r="D63" s="58"/>
      <c r="E63" s="4"/>
      <c r="F63" s="58"/>
      <c r="G63" s="4"/>
      <c r="H63" s="4"/>
      <c r="I63" s="58"/>
      <c r="J63" s="6"/>
      <c r="K63" s="58"/>
      <c r="L63" s="4"/>
      <c r="M63" s="59" t="s">
        <v>18</v>
      </c>
      <c r="N63" s="60" t="s">
        <v>19</v>
      </c>
      <c r="O63" s="43"/>
      <c r="P63" s="28"/>
      <c r="Q63" s="8"/>
    </row>
    <row r="64" spans="1:17" ht="15" thickBot="1" x14ac:dyDescent="0.4">
      <c r="A64" s="61"/>
      <c r="B64" s="62"/>
      <c r="C64" s="63"/>
      <c r="D64" s="61"/>
      <c r="E64" s="64"/>
      <c r="F64" s="61"/>
      <c r="G64" s="64"/>
      <c r="H64" s="64"/>
      <c r="I64" s="61"/>
      <c r="J64" s="65"/>
      <c r="K64" s="61"/>
      <c r="L64" s="64"/>
      <c r="M64" s="66">
        <f>SUM(M7:M35)</f>
        <v>127288.46</v>
      </c>
      <c r="N64" s="67">
        <f>SUM(N6:N63)</f>
        <v>176789.52777777778</v>
      </c>
      <c r="O64" s="68" t="s">
        <v>20</v>
      </c>
      <c r="P64" s="114">
        <f>SUM(P6:P63)</f>
        <v>176789.52777777778</v>
      </c>
      <c r="Q64" s="68">
        <f>SUM(Q6:Q63)</f>
        <v>0</v>
      </c>
    </row>
    <row r="65" spans="1:17" ht="15" thickBot="1" x14ac:dyDescent="0.4">
      <c r="A65" s="1"/>
      <c r="B65" s="69"/>
      <c r="C65" s="4"/>
      <c r="D65" s="4"/>
      <c r="E65" s="4"/>
      <c r="F65" s="4"/>
      <c r="G65" s="4"/>
      <c r="H65" s="4"/>
      <c r="I65" s="4"/>
      <c r="J65" s="4"/>
      <c r="K65" s="70"/>
      <c r="L65" s="71" t="s">
        <v>21</v>
      </c>
      <c r="M65" s="72"/>
      <c r="N65" s="73">
        <v>0</v>
      </c>
      <c r="O65" s="3"/>
      <c r="P65" s="3"/>
      <c r="Q65" s="68">
        <f>SUM(Q7:Q64)</f>
        <v>0</v>
      </c>
    </row>
    <row r="66" spans="1:17" ht="15" thickBot="1" x14ac:dyDescent="0.4">
      <c r="A66" s="1"/>
      <c r="B66" s="4"/>
      <c r="C66" s="4"/>
      <c r="D66" s="4"/>
      <c r="E66" s="4"/>
      <c r="F66" s="4"/>
      <c r="G66" s="4"/>
      <c r="H66" s="4"/>
      <c r="I66" s="4"/>
      <c r="J66" s="4"/>
      <c r="K66" s="70"/>
      <c r="L66" s="74" t="s">
        <v>22</v>
      </c>
      <c r="M66" s="75"/>
      <c r="N66" s="76">
        <v>0</v>
      </c>
      <c r="O66" s="3"/>
      <c r="P66" s="3"/>
      <c r="Q66" s="8"/>
    </row>
    <row r="67" spans="1:17" ht="15" thickBot="1" x14ac:dyDescent="0.4">
      <c r="A67" s="1"/>
      <c r="B67" s="4"/>
      <c r="C67" s="4"/>
      <c r="D67" s="4"/>
      <c r="E67" s="4"/>
      <c r="F67" s="4"/>
      <c r="G67" s="4"/>
      <c r="H67" s="4"/>
      <c r="I67" s="4"/>
      <c r="J67" s="4"/>
      <c r="K67" s="4"/>
      <c r="L67" s="7"/>
      <c r="M67" s="77" t="s">
        <v>23</v>
      </c>
      <c r="N67" s="78">
        <f>SUM(P64:P66)</f>
        <v>176789.52777777778</v>
      </c>
      <c r="O67" s="3"/>
      <c r="P67" s="3"/>
      <c r="Q67" s="8"/>
    </row>
    <row r="68" spans="1:17" ht="18" x14ac:dyDescent="0.4">
      <c r="A68" s="1"/>
      <c r="B68" s="4"/>
      <c r="C68" s="4"/>
      <c r="D68" s="4"/>
      <c r="E68" s="4"/>
      <c r="F68" s="3"/>
      <c r="G68" s="4"/>
      <c r="H68" s="4"/>
      <c r="I68" s="4"/>
      <c r="J68" s="4"/>
      <c r="K68" s="4"/>
      <c r="L68" s="7"/>
      <c r="M68" s="79" t="s">
        <v>24</v>
      </c>
      <c r="N68" s="80"/>
      <c r="O68" s="3"/>
      <c r="P68" s="3"/>
      <c r="Q68" s="8"/>
    </row>
    <row r="69" spans="1:17" ht="15" thickBot="1" x14ac:dyDescent="0.4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7"/>
      <c r="M69" s="81" t="s">
        <v>25</v>
      </c>
      <c r="N69" s="82"/>
      <c r="O69" s="3"/>
      <c r="P69" s="3"/>
      <c r="Q69" s="8"/>
    </row>
    <row r="70" spans="1:17" ht="19" thickBot="1" x14ac:dyDescent="0.5">
      <c r="A70" s="1"/>
      <c r="B70" s="4"/>
      <c r="C70" s="4"/>
      <c r="D70" s="83"/>
      <c r="E70" s="4"/>
      <c r="F70" s="4"/>
      <c r="G70" s="4"/>
      <c r="H70" s="4"/>
      <c r="I70" s="4"/>
      <c r="J70" s="4"/>
      <c r="K70" s="4"/>
      <c r="L70" s="7"/>
      <c r="M70" s="84" t="s">
        <v>26</v>
      </c>
      <c r="N70" s="85">
        <f>SUM(M64)</f>
        <v>127288.46</v>
      </c>
      <c r="O70" s="86">
        <f>M64</f>
        <v>127288.46</v>
      </c>
      <c r="P70" s="3"/>
      <c r="Q70" s="87"/>
    </row>
    <row r="71" spans="1:17" ht="19" thickBot="1" x14ac:dyDescent="0.5">
      <c r="A71" s="1"/>
      <c r="B71" s="4"/>
      <c r="C71" s="4"/>
      <c r="D71" s="4"/>
      <c r="E71" s="4"/>
      <c r="F71" s="4"/>
      <c r="G71" s="4"/>
      <c r="H71" s="4"/>
      <c r="I71" s="4"/>
      <c r="J71" s="4"/>
      <c r="K71" s="4"/>
      <c r="L71" s="7"/>
      <c r="M71" s="84" t="s">
        <v>27</v>
      </c>
      <c r="N71" s="88">
        <f>SUM(N67)</f>
        <v>176789.52777777778</v>
      </c>
      <c r="O71" s="86">
        <f>P64</f>
        <v>176789.52777777778</v>
      </c>
      <c r="P71" s="3"/>
      <c r="Q71" s="8"/>
    </row>
    <row r="72" spans="1:17" ht="19" thickBot="1" x14ac:dyDescent="0.5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7"/>
      <c r="M72" s="89"/>
      <c r="N72" s="89"/>
      <c r="O72" s="86"/>
      <c r="P72" s="3"/>
      <c r="Q72" s="8"/>
    </row>
    <row r="73" spans="1:17" ht="23.5" thickBot="1" x14ac:dyDescent="0.55000000000000004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7"/>
      <c r="M73" s="84" t="s">
        <v>28</v>
      </c>
      <c r="N73" s="90">
        <f>N75/N71*100%</f>
        <v>0.27999999999999997</v>
      </c>
      <c r="O73" s="91">
        <f>O75/O71*100%</f>
        <v>0.27999999999999997</v>
      </c>
      <c r="P73" s="3"/>
      <c r="Q73" s="8"/>
    </row>
    <row r="74" spans="1:17" ht="19" thickBot="1" x14ac:dyDescent="0.5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7"/>
      <c r="M74" s="89"/>
      <c r="N74" s="89"/>
      <c r="O74" s="86"/>
      <c r="P74" s="3"/>
      <c r="Q74" s="8"/>
    </row>
    <row r="75" spans="1:17" ht="19" thickBot="1" x14ac:dyDescent="0.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7"/>
      <c r="M75" s="92" t="s">
        <v>29</v>
      </c>
      <c r="N75" s="93">
        <f>SUM(N71-N70)</f>
        <v>49501.067777777775</v>
      </c>
      <c r="O75" s="86">
        <f>O71-O70</f>
        <v>49501.067777777775</v>
      </c>
      <c r="P75" s="3"/>
      <c r="Q7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Jancola</dc:creator>
  <cp:lastModifiedBy>Josh Jancola</cp:lastModifiedBy>
  <dcterms:created xsi:type="dcterms:W3CDTF">2023-06-28T18:34:21Z</dcterms:created>
  <dcterms:modified xsi:type="dcterms:W3CDTF">2025-03-18T18:09:20Z</dcterms:modified>
</cp:coreProperties>
</file>