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ary Op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<sst xmlns="http://schemas.openxmlformats.org/spreadsheetml/2006/main" count="69" uniqueCount="58">
  <si>
    <t xml:space="preserve">Created Date</t>
  </si>
  <si>
    <t xml:space="preserve">Last Edited</t>
  </si>
  <si>
    <t xml:space="preserve">Item #</t>
  </si>
  <si>
    <t xml:space="preserve">Description</t>
  </si>
  <si>
    <t xml:space="preserve">Total List</t>
  </si>
  <si>
    <t xml:space="preserve">Factory Install</t>
  </si>
  <si>
    <t xml:space="preserve">Machine list</t>
  </si>
  <si>
    <t xml:space="preserve">Discount </t>
  </si>
  <si>
    <t xml:space="preserve">Cost </t>
  </si>
  <si>
    <t xml:space="preserve">Margin</t>
  </si>
  <si>
    <t xml:space="preserve">Sell price</t>
  </si>
  <si>
    <t xml:space="preserve">Qty</t>
  </si>
  <si>
    <t xml:space="preserve">Total sell price </t>
  </si>
  <si>
    <t xml:space="preserve">Total cost </t>
  </si>
  <si>
    <t xml:space="preserve">Proposal Each</t>
  </si>
  <si>
    <t xml:space="preserve">Proposal </t>
  </si>
  <si>
    <t xml:space="preserve">Machine</t>
  </si>
  <si>
    <t xml:space="preserve">Software</t>
  </si>
  <si>
    <t xml:space="preserve">Install</t>
  </si>
  <si>
    <t xml:space="preserve">PIH</t>
  </si>
  <si>
    <t xml:space="preserve">PIH Install </t>
  </si>
  <si>
    <t xml:space="preserve">ISO 7 Cleanroom PPE - Hair Cover, Beard Cover, Lab Coat, Shoe Cover, Gloves</t>
  </si>
  <si>
    <t xml:space="preserve">Includes Rentals</t>
  </si>
  <si>
    <t xml:space="preserve">Seismic Calculations</t>
  </si>
  <si>
    <t xml:space="preserve">Optional Items</t>
  </si>
  <si>
    <t xml:space="preserve">Wireless Bar Code Reader (2D)</t>
  </si>
  <si>
    <t xml:space="preserve">Option</t>
  </si>
  <si>
    <t xml:space="preserve">Laser Pointer</t>
  </si>
  <si>
    <t xml:space="preserve">Alphanumeric LED Bar- Internal Delivery</t>
  </si>
  <si>
    <t xml:space="preserve">RFID Badge Reader</t>
  </si>
  <si>
    <t xml:space="preserve">Spare Parts Kit </t>
  </si>
  <si>
    <t xml:space="preserve">Spare Parts Kit – Level B</t>
  </si>
  <si>
    <t xml:space="preserve">Spare Parts Kit- Level C</t>
  </si>
  <si>
    <t xml:space="preserve">Magnetic Badge Reader</t>
  </si>
  <si>
    <t xml:space="preserve">Wireless Bar Code Reader (1D)</t>
  </si>
  <si>
    <t xml:space="preserve">Automatic Closing Door</t>
  </si>
  <si>
    <t xml:space="preserve">Modula WMS Driver</t>
  </si>
  <si>
    <t xml:space="preserve">Modula WMS Premium</t>
  </si>
  <si>
    <t xml:space="preserve">Modula Link</t>
  </si>
  <si>
    <t xml:space="preserve">Slotted Partitions L 857 H 120</t>
  </si>
  <si>
    <t xml:space="preserve">Plain Dividers H 120 L 100</t>
  </si>
  <si>
    <t xml:space="preserve">Plain Dividers H 120 L 140</t>
  </si>
  <si>
    <t xml:space="preserve">Plain Dividers H 120 L 180</t>
  </si>
  <si>
    <t xml:space="preserve">Plain Dividers H 120 L 220</t>
  </si>
  <si>
    <t xml:space="preserve">Plain Dividers H 120 L 260</t>
  </si>
  <si>
    <t xml:space="preserve">Plain Dividers H 120 L 300</t>
  </si>
  <si>
    <t xml:space="preserve">PIH Cost</t>
  </si>
  <si>
    <t xml:space="preserve">PIH Sell</t>
  </si>
  <si>
    <t xml:space="preserve">Proposal Total </t>
  </si>
  <si>
    <t xml:space="preserve">Discounts</t>
  </si>
  <si>
    <t xml:space="preserve">Discount 2</t>
  </si>
  <si>
    <t xml:space="preserve">Grand Total</t>
  </si>
  <si>
    <t xml:space="preserve">Margin Calculator</t>
  </si>
  <si>
    <t xml:space="preserve">Including Labor</t>
  </si>
  <si>
    <t xml:space="preserve">Cost $:</t>
  </si>
  <si>
    <t xml:space="preserve">Sell $:</t>
  </si>
  <si>
    <t xml:space="preserve">Gross Margin:</t>
  </si>
  <si>
    <t xml:space="preserve">Gross Profit: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</si>
</sst>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@"/>
    <numFmt numFmtId="167" formatCode="m/d/yyyy"/>
    <numFmt numFmtId="168" formatCode="&quot; $&quot;* #,##0.00\ ;&quot; $&quot;* \(#,##0.00\);&quot; $&quot;* \-??\ "/>
    <numFmt numFmtId="169" formatCode="0.00%"/>
    <numFmt numFmtId="170" formatCode="0%"/>
    <numFmt numFmtId="171" formatCode="\$#,##0.00\ ;&quot;($&quot;#,##0.00\)"/>
    <numFmt numFmtId="172" formatCode="\$#,##0"/>
    <numFmt numFmtId="173" formatCode="#,##0"/>
    <numFmt numFmtId="174" formatCode="#,##0.00"/>
  </numFmts>
  <fonts count="13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u val="single"/>
      <sz val="20"/>
      <name val="Calibri"/>
      <family val="0"/>
      <charset val="1"/>
    </font>
    <font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  <charset val="1"/>
    </font>
    <font>
      <b val="true"/>
      <u val="singl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Calibri"/>
      <family val="0"/>
      <charset val="1"/>
    </font>
    <font>
      <b val="true"/>
      <sz val="1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9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4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2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2" borderId="4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4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2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859375" defaultRowHeight="14.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7.86"/>
    <col collapsed="false" customWidth="true" hidden="false" outlineLevel="0" max="3" min="3" style="1" width="12.17"/>
    <col collapsed="false" customWidth="true" hidden="false" outlineLevel="0" max="4" min="4" style="1" width="13.17"/>
    <col collapsed="false" customWidth="true" hidden="false" outlineLevel="0" max="5" min="5" style="1" width="13.86"/>
    <col collapsed="false" customWidth="true" hidden="false" outlineLevel="0" max="6" min="6" style="1" width="15.85"/>
    <col collapsed="false" customWidth="true" hidden="false" outlineLevel="0" max="7" min="7" style="1" width="15.17"/>
    <col collapsed="false" customWidth="false" hidden="false" outlineLevel="0" max="8" min="8" style="1" width="8.86"/>
    <col collapsed="false" customWidth="true" hidden="false" outlineLevel="0" max="9" min="9" style="1" width="6.68"/>
    <col collapsed="false" customWidth="true" hidden="false" outlineLevel="0" max="10" min="10" style="1" width="12.17"/>
    <col collapsed="false" customWidth="true" hidden="false" outlineLevel="0" max="11" min="11" style="1" width="3.86"/>
    <col collapsed="false" customWidth="true" hidden="false" outlineLevel="0" max="12" min="12" style="1" width="14.17"/>
    <col collapsed="false" customWidth="true" hidden="false" outlineLevel="0" max="13" min="13" style="1" width="18.86"/>
    <col collapsed="false" customWidth="true" hidden="false" outlineLevel="0" max="14" min="14" style="1" width="19.52"/>
    <col collapsed="false" customWidth="true" hidden="false" outlineLevel="0" max="15" min="15" style="1" width="19.35"/>
    <col collapsed="false" customWidth="true" hidden="false" outlineLevel="0" max="16" min="16" style="1" width="16.35"/>
    <col collapsed="false" customWidth="true" hidden="false" outlineLevel="0" max="17" min="17" style="1" width="27.35"/>
    <col collapsed="false" customWidth="false" hidden="false" outlineLevel="0" max="16384" min="18" style="1" width="8.86"/>
  </cols>
  <sheetData>
    <row r="1" customFormat="false" ht="26" hidden="false" customHeight="true" outlineLevel="0" collapsed="false">
      <c r="A1" s="2"/>
      <c r="B1" s="3"/>
      <c r="C1" s="4"/>
      <c r="D1" s="5"/>
      <c r="E1" s="5"/>
      <c r="F1" s="6"/>
      <c r="G1" s="5"/>
      <c r="H1" s="5"/>
      <c r="I1" s="5"/>
      <c r="J1" s="5"/>
      <c r="K1" s="5"/>
      <c r="L1" s="5"/>
      <c r="M1" s="5"/>
      <c r="N1" s="7"/>
      <c r="O1" s="8"/>
      <c r="P1" s="4"/>
      <c r="Q1" s="9"/>
    </row>
    <row r="2" customFormat="false" ht="17.5" hidden="false" customHeight="true" outlineLevel="0" collapsed="false">
      <c r="A2" s="2"/>
      <c r="B2" s="10"/>
      <c r="C2" s="5"/>
      <c r="D2" s="5"/>
      <c r="E2" s="5"/>
      <c r="F2" s="11" t="s">
        <v>0</v>
      </c>
      <c r="G2" s="12"/>
      <c r="H2" s="13"/>
      <c r="I2" s="5"/>
      <c r="J2" s="5"/>
      <c r="K2" s="5"/>
      <c r="L2" s="5"/>
      <c r="M2" s="5"/>
      <c r="N2" s="7"/>
      <c r="O2" s="8"/>
      <c r="P2" s="14"/>
      <c r="Q2" s="15"/>
    </row>
    <row r="3" customFormat="false" ht="18" hidden="false" customHeight="true" outlineLevel="0" collapsed="false">
      <c r="A3" s="2"/>
      <c r="B3" s="10"/>
      <c r="C3" s="5"/>
      <c r="D3" s="5"/>
      <c r="E3" s="5"/>
      <c r="F3" s="11" t="s">
        <v>1</v>
      </c>
      <c r="G3" s="12"/>
      <c r="H3" s="13"/>
      <c r="I3" s="5"/>
      <c r="J3" s="5"/>
      <c r="K3" s="5"/>
      <c r="L3" s="5"/>
      <c r="M3" s="16"/>
      <c r="N3" s="17"/>
      <c r="O3" s="18"/>
      <c r="P3" s="19"/>
      <c r="Q3" s="15"/>
    </row>
    <row r="4" customFormat="false" ht="15" hidden="false" customHeight="true" outlineLevel="0" collapsed="false">
      <c r="A4" s="20"/>
      <c r="B4" s="16"/>
      <c r="C4" s="16"/>
      <c r="D4" s="16"/>
      <c r="E4" s="16"/>
      <c r="F4" s="16"/>
      <c r="G4" s="16"/>
      <c r="H4" s="21"/>
      <c r="I4" s="16"/>
      <c r="J4" s="16"/>
      <c r="K4" s="16"/>
      <c r="L4" s="17"/>
      <c r="M4" s="22"/>
      <c r="N4" s="22"/>
      <c r="O4" s="23"/>
      <c r="P4" s="24"/>
      <c r="Q4" s="25"/>
    </row>
    <row r="5" customFormat="false" ht="15" hidden="false" customHeight="true" outlineLevel="0" collapsed="false">
      <c r="A5" s="26" t="s">
        <v>2</v>
      </c>
      <c r="B5" s="26" t="s">
        <v>3</v>
      </c>
      <c r="C5" s="26" t="s">
        <v>4</v>
      </c>
      <c r="D5" s="26" t="s">
        <v>5</v>
      </c>
      <c r="E5" s="26" t="s">
        <v>6</v>
      </c>
      <c r="F5" s="26" t="s">
        <v>7</v>
      </c>
      <c r="G5" s="27" t="s">
        <v>8</v>
      </c>
      <c r="H5" s="28"/>
      <c r="I5" s="26" t="s">
        <v>9</v>
      </c>
      <c r="J5" s="29" t="s">
        <v>10</v>
      </c>
      <c r="K5" s="26" t="s">
        <v>11</v>
      </c>
      <c r="L5" s="26" t="s">
        <v>12</v>
      </c>
      <c r="M5" s="29" t="s">
        <v>13</v>
      </c>
      <c r="N5" s="29" t="s">
        <v>12</v>
      </c>
      <c r="O5" s="26" t="s">
        <v>14</v>
      </c>
      <c r="P5" s="29" t="s">
        <v>15</v>
      </c>
      <c r="Q5" s="30"/>
    </row>
    <row r="6" customFormat="false" ht="15" hidden="false" customHeight="true" outlineLevel="0" collapsed="false">
      <c r="A6" s="31"/>
      <c r="B6" s="29" t="s">
        <v>16</v>
      </c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4"/>
      <c r="Q6" s="35"/>
    </row>
    <row r="7" customFormat="false" ht="14.15" hidden="false" customHeight="true" outlineLevel="0" collapsed="false">
      <c r="A7" s="36"/>
      <c r="B7" s="37"/>
      <c r="C7" s="38"/>
      <c r="D7" s="39"/>
      <c r="E7" s="39"/>
      <c r="F7" s="40"/>
      <c r="G7" s="41"/>
      <c r="H7" s="42"/>
      <c r="I7" s="43" t="n">
        <v>0.3</v>
      </c>
      <c r="J7" s="38"/>
      <c r="K7" s="36"/>
      <c r="L7" s="39"/>
      <c r="M7" s="44"/>
      <c r="N7" s="39"/>
      <c r="O7" s="39"/>
      <c r="P7" s="45"/>
      <c r="Q7" s="46"/>
    </row>
    <row r="8" customFormat="false" ht="13.65" hidden="false" customHeight="true" outlineLevel="0" collapsed="false">
      <c r="A8" s="47"/>
      <c r="B8" s="48"/>
      <c r="C8" s="49"/>
      <c r="D8" s="49"/>
      <c r="E8" s="49"/>
      <c r="F8" s="50"/>
      <c r="G8" s="51"/>
      <c r="H8" s="52"/>
      <c r="I8" s="53"/>
      <c r="J8" s="54"/>
      <c r="K8" s="55"/>
      <c r="L8" s="49"/>
      <c r="M8" s="56"/>
      <c r="N8" s="57"/>
      <c r="O8" s="49"/>
      <c r="P8" s="57"/>
      <c r="Q8" s="58"/>
    </row>
    <row r="9" customFormat="false" ht="13.65" hidden="false" customHeight="true" outlineLevel="0" collapsed="false">
      <c r="A9" s="47"/>
      <c r="B9" s="59"/>
      <c r="C9" s="60"/>
      <c r="D9" s="60"/>
      <c r="E9" s="60"/>
      <c r="F9" s="61"/>
      <c r="G9" s="8"/>
      <c r="H9" s="7"/>
      <c r="I9" s="62"/>
      <c r="J9" s="54"/>
      <c r="K9" s="63"/>
      <c r="L9" s="60"/>
      <c r="M9" s="56"/>
      <c r="N9" s="57"/>
      <c r="O9" s="60"/>
      <c r="P9" s="57"/>
      <c r="Q9" s="46"/>
    </row>
    <row r="10" customFormat="false" ht="13.65" hidden="false" customHeight="true" outlineLevel="0" collapsed="false">
      <c r="A10" s="64"/>
      <c r="B10" s="59"/>
      <c r="C10" s="60"/>
      <c r="D10" s="60"/>
      <c r="E10" s="60"/>
      <c r="F10" s="61"/>
      <c r="G10" s="8"/>
      <c r="H10" s="7"/>
      <c r="I10" s="62"/>
      <c r="J10" s="54"/>
      <c r="K10" s="63"/>
      <c r="L10" s="60"/>
      <c r="M10" s="56"/>
      <c r="N10" s="57"/>
      <c r="O10" s="60"/>
      <c r="P10" s="57"/>
      <c r="Q10" s="46"/>
    </row>
    <row r="11" customFormat="false" ht="13.65" hidden="false" customHeight="true" outlineLevel="0" collapsed="false">
      <c r="A11" s="64"/>
      <c r="B11" s="59"/>
      <c r="C11" s="60"/>
      <c r="D11" s="60"/>
      <c r="E11" s="60"/>
      <c r="F11" s="61"/>
      <c r="G11" s="8"/>
      <c r="H11" s="7"/>
      <c r="I11" s="62"/>
      <c r="J11" s="54"/>
      <c r="K11" s="63"/>
      <c r="L11" s="60"/>
      <c r="M11" s="56"/>
      <c r="N11" s="57"/>
      <c r="O11" s="60"/>
      <c r="P11" s="57"/>
      <c r="Q11" s="46"/>
    </row>
    <row r="12" customFormat="false" ht="13.65" hidden="false" customHeight="true" outlineLevel="0" collapsed="false">
      <c r="A12" s="64"/>
      <c r="B12" s="59"/>
      <c r="C12" s="60"/>
      <c r="D12" s="60"/>
      <c r="E12" s="60"/>
      <c r="F12" s="61"/>
      <c r="G12" s="8"/>
      <c r="H12" s="7"/>
      <c r="I12" s="62"/>
      <c r="J12" s="54"/>
      <c r="K12" s="63"/>
      <c r="L12" s="60"/>
      <c r="M12" s="56"/>
      <c r="N12" s="57"/>
      <c r="O12" s="60"/>
      <c r="P12" s="57"/>
      <c r="Q12" s="46"/>
    </row>
    <row r="13" customFormat="false" ht="13.65" hidden="false" customHeight="true" outlineLevel="0" collapsed="false">
      <c r="A13" s="64"/>
      <c r="B13" s="59"/>
      <c r="C13" s="60"/>
      <c r="D13" s="60"/>
      <c r="E13" s="60"/>
      <c r="F13" s="61"/>
      <c r="G13" s="8"/>
      <c r="H13" s="7"/>
      <c r="I13" s="62"/>
      <c r="J13" s="54"/>
      <c r="K13" s="63"/>
      <c r="L13" s="60"/>
      <c r="M13" s="56"/>
      <c r="N13" s="57"/>
      <c r="O13" s="60"/>
      <c r="P13" s="57"/>
      <c r="Q13" s="46"/>
    </row>
    <row r="14" customFormat="false" ht="13.65" hidden="false" customHeight="true" outlineLevel="0" collapsed="false">
      <c r="A14" s="65"/>
      <c r="B14" s="59"/>
      <c r="C14" s="66"/>
      <c r="D14" s="66"/>
      <c r="E14" s="66"/>
      <c r="F14" s="67"/>
      <c r="G14" s="8"/>
      <c r="H14" s="68"/>
      <c r="I14" s="62"/>
      <c r="J14" s="54"/>
      <c r="K14" s="63"/>
      <c r="L14" s="60"/>
      <c r="M14" s="56"/>
      <c r="N14" s="57"/>
      <c r="O14" s="60"/>
      <c r="P14" s="57"/>
      <c r="Q14" s="69"/>
    </row>
    <row r="15" customFormat="false" ht="13.65" hidden="false" customHeight="true" outlineLevel="0" collapsed="false">
      <c r="A15" s="68"/>
      <c r="B15" s="59"/>
      <c r="C15" s="66"/>
      <c r="D15" s="66"/>
      <c r="E15" s="66"/>
      <c r="F15" s="67"/>
      <c r="G15" s="8"/>
      <c r="H15" s="68"/>
      <c r="I15" s="62"/>
      <c r="J15" s="54"/>
      <c r="K15" s="63"/>
      <c r="L15" s="60"/>
      <c r="M15" s="56"/>
      <c r="N15" s="57"/>
      <c r="O15" s="60"/>
      <c r="P15" s="57"/>
      <c r="Q15" s="70"/>
    </row>
    <row r="16" customFormat="false" ht="15" hidden="false" customHeight="true" outlineLevel="0" collapsed="false">
      <c r="A16" s="71"/>
      <c r="B16" s="72"/>
      <c r="C16" s="73"/>
      <c r="D16" s="73"/>
      <c r="E16" s="73"/>
      <c r="F16" s="74"/>
      <c r="G16" s="18"/>
      <c r="H16" s="17"/>
      <c r="I16" s="75"/>
      <c r="J16" s="76"/>
      <c r="K16" s="71"/>
      <c r="L16" s="73"/>
      <c r="M16" s="77"/>
      <c r="N16" s="78"/>
      <c r="O16" s="73"/>
      <c r="P16" s="78"/>
      <c r="Q16" s="79"/>
    </row>
    <row r="17" customFormat="false" ht="15" hidden="false" customHeight="true" outlineLevel="0" collapsed="false">
      <c r="A17" s="80"/>
      <c r="B17" s="81" t="s">
        <v>17</v>
      </c>
      <c r="C17" s="33"/>
      <c r="D17" s="33"/>
      <c r="E17" s="33"/>
      <c r="F17" s="82"/>
      <c r="G17" s="33"/>
      <c r="H17" s="33"/>
      <c r="I17" s="33"/>
      <c r="J17" s="33"/>
      <c r="K17" s="33"/>
      <c r="L17" s="33"/>
      <c r="M17" s="33"/>
      <c r="N17" s="33"/>
      <c r="O17" s="33"/>
      <c r="P17" s="34"/>
      <c r="Q17" s="79"/>
    </row>
    <row r="18" customFormat="false" ht="14.15" hidden="false" customHeight="true" outlineLevel="0" collapsed="false">
      <c r="A18" s="83"/>
      <c r="B18" s="84"/>
      <c r="C18" s="85"/>
      <c r="D18" s="85"/>
      <c r="E18" s="85"/>
      <c r="F18" s="86"/>
      <c r="G18" s="87"/>
      <c r="H18" s="88"/>
      <c r="I18" s="89"/>
      <c r="J18" s="38"/>
      <c r="K18" s="83"/>
      <c r="L18" s="85"/>
      <c r="M18" s="44"/>
      <c r="N18" s="39"/>
      <c r="O18" s="85"/>
      <c r="P18" s="39"/>
      <c r="Q18" s="79"/>
    </row>
    <row r="19" customFormat="false" ht="13.65" hidden="false" customHeight="true" outlineLevel="0" collapsed="false">
      <c r="A19" s="90"/>
      <c r="B19" s="91"/>
      <c r="C19" s="57"/>
      <c r="D19" s="57"/>
      <c r="E19" s="57"/>
      <c r="F19" s="92"/>
      <c r="G19" s="93"/>
      <c r="H19" s="94"/>
      <c r="I19" s="95"/>
      <c r="J19" s="54"/>
      <c r="K19" s="90"/>
      <c r="L19" s="57"/>
      <c r="M19" s="56"/>
      <c r="N19" s="57"/>
      <c r="O19" s="57"/>
      <c r="P19" s="96"/>
      <c r="Q19" s="79"/>
    </row>
    <row r="20" customFormat="false" ht="13.65" hidden="false" customHeight="true" outlineLevel="0" collapsed="false">
      <c r="A20" s="47"/>
      <c r="B20" s="97"/>
      <c r="C20" s="98"/>
      <c r="D20" s="98"/>
      <c r="E20" s="98"/>
      <c r="F20" s="99"/>
      <c r="G20" s="100"/>
      <c r="H20" s="64"/>
      <c r="I20" s="101"/>
      <c r="J20" s="54"/>
      <c r="K20" s="47"/>
      <c r="L20" s="98"/>
      <c r="M20" s="56"/>
      <c r="N20" s="57"/>
      <c r="O20" s="98"/>
      <c r="P20" s="57"/>
      <c r="Q20" s="79"/>
    </row>
    <row r="21" customFormat="false" ht="13.65" hidden="false" customHeight="true" outlineLevel="0" collapsed="false">
      <c r="A21" s="90"/>
      <c r="B21" s="91"/>
      <c r="C21" s="57"/>
      <c r="D21" s="57"/>
      <c r="E21" s="57"/>
      <c r="F21" s="92"/>
      <c r="G21" s="93"/>
      <c r="H21" s="94"/>
      <c r="I21" s="95"/>
      <c r="J21" s="54"/>
      <c r="K21" s="90"/>
      <c r="L21" s="57"/>
      <c r="M21" s="56"/>
      <c r="N21" s="57"/>
      <c r="O21" s="57"/>
      <c r="P21" s="96"/>
      <c r="Q21" s="79"/>
    </row>
    <row r="22" customFormat="false" ht="13.65" hidden="false" customHeight="true" outlineLevel="0" collapsed="false">
      <c r="A22" s="47"/>
      <c r="B22" s="97"/>
      <c r="C22" s="98"/>
      <c r="D22" s="98"/>
      <c r="E22" s="98"/>
      <c r="F22" s="99"/>
      <c r="G22" s="100"/>
      <c r="H22" s="64"/>
      <c r="I22" s="101"/>
      <c r="J22" s="54"/>
      <c r="K22" s="47"/>
      <c r="L22" s="98"/>
      <c r="M22" s="56"/>
      <c r="N22" s="57"/>
      <c r="O22" s="98"/>
      <c r="P22" s="57"/>
      <c r="Q22" s="35"/>
    </row>
    <row r="23" customFormat="false" ht="13.65" hidden="false" customHeight="true" outlineLevel="0" collapsed="false">
      <c r="A23" s="90"/>
      <c r="B23" s="91"/>
      <c r="C23" s="57"/>
      <c r="D23" s="57"/>
      <c r="E23" s="57"/>
      <c r="F23" s="92"/>
      <c r="G23" s="93"/>
      <c r="H23" s="94"/>
      <c r="I23" s="95"/>
      <c r="J23" s="54"/>
      <c r="K23" s="90"/>
      <c r="L23" s="57"/>
      <c r="M23" s="56"/>
      <c r="N23" s="57"/>
      <c r="O23" s="57"/>
      <c r="P23" s="96"/>
      <c r="Q23" s="46"/>
    </row>
    <row r="24" customFormat="false" ht="13.65" hidden="false" customHeight="true" outlineLevel="0" collapsed="false">
      <c r="A24" s="47"/>
      <c r="B24" s="97"/>
      <c r="C24" s="98"/>
      <c r="D24" s="98"/>
      <c r="E24" s="98"/>
      <c r="F24" s="99"/>
      <c r="G24" s="100"/>
      <c r="H24" s="64"/>
      <c r="I24" s="101"/>
      <c r="J24" s="54"/>
      <c r="K24" s="47"/>
      <c r="L24" s="98"/>
      <c r="M24" s="56"/>
      <c r="N24" s="57"/>
      <c r="O24" s="98"/>
      <c r="P24" s="57"/>
      <c r="Q24" s="46"/>
    </row>
    <row r="25" customFormat="false" ht="13.65" hidden="false" customHeight="true" outlineLevel="0" collapsed="false">
      <c r="A25" s="102"/>
      <c r="B25" s="91"/>
      <c r="C25" s="57"/>
      <c r="D25" s="57"/>
      <c r="E25" s="57"/>
      <c r="F25" s="92"/>
      <c r="G25" s="93"/>
      <c r="H25" s="94"/>
      <c r="I25" s="95"/>
      <c r="J25" s="54"/>
      <c r="K25" s="90"/>
      <c r="L25" s="57"/>
      <c r="M25" s="56"/>
      <c r="N25" s="57"/>
      <c r="O25" s="57"/>
      <c r="P25" s="96"/>
      <c r="Q25" s="46"/>
    </row>
    <row r="26" customFormat="false" ht="15" hidden="false" customHeight="true" outlineLevel="0" collapsed="false">
      <c r="A26" s="103"/>
      <c r="B26" s="104"/>
      <c r="C26" s="105"/>
      <c r="D26" s="105"/>
      <c r="E26" s="105"/>
      <c r="F26" s="106"/>
      <c r="G26" s="107"/>
      <c r="H26" s="103"/>
      <c r="I26" s="108"/>
      <c r="J26" s="76"/>
      <c r="K26" s="109"/>
      <c r="L26" s="105"/>
      <c r="M26" s="77"/>
      <c r="N26" s="78"/>
      <c r="O26" s="105"/>
      <c r="P26" s="78"/>
      <c r="Q26" s="46"/>
    </row>
    <row r="27" customFormat="false" ht="15" hidden="false" customHeight="true" outlineLevel="0" collapsed="false">
      <c r="A27" s="80"/>
      <c r="B27" s="81" t="s">
        <v>18</v>
      </c>
      <c r="C27" s="33"/>
      <c r="D27" s="33"/>
      <c r="E27" s="33"/>
      <c r="F27" s="82"/>
      <c r="G27" s="33"/>
      <c r="H27" s="33"/>
      <c r="I27" s="33"/>
      <c r="J27" s="33"/>
      <c r="K27" s="33"/>
      <c r="L27" s="33"/>
      <c r="M27" s="33"/>
      <c r="N27" s="33"/>
      <c r="O27" s="33"/>
      <c r="P27" s="34"/>
      <c r="Q27" s="110"/>
    </row>
    <row r="28" customFormat="false" ht="15" hidden="false" customHeight="true" outlineLevel="0" collapsed="false">
      <c r="A28" s="111"/>
      <c r="B28" s="112"/>
      <c r="C28" s="113"/>
      <c r="D28" s="113"/>
      <c r="E28" s="113"/>
      <c r="F28" s="114"/>
      <c r="G28" s="115"/>
      <c r="H28" s="116"/>
      <c r="I28" s="117"/>
      <c r="J28" s="38"/>
      <c r="K28" s="111"/>
      <c r="L28" s="113"/>
      <c r="M28" s="44"/>
      <c r="N28" s="39"/>
      <c r="O28" s="113"/>
      <c r="P28" s="39"/>
      <c r="Q28" s="79"/>
    </row>
    <row r="29" customFormat="false" ht="15" hidden="false" customHeight="true" outlineLevel="0" collapsed="false">
      <c r="A29" s="118"/>
      <c r="B29" s="26" t="s">
        <v>19</v>
      </c>
      <c r="C29" s="119"/>
      <c r="D29" s="119"/>
      <c r="E29" s="119"/>
      <c r="F29" s="120"/>
      <c r="G29" s="121"/>
      <c r="H29" s="122"/>
      <c r="I29" s="123"/>
      <c r="J29" s="54"/>
      <c r="K29" s="118"/>
      <c r="L29" s="119"/>
      <c r="M29" s="56"/>
      <c r="N29" s="57"/>
      <c r="O29" s="119"/>
      <c r="P29" s="57"/>
      <c r="Q29" s="79"/>
    </row>
    <row r="30" customFormat="false" ht="14.15" hidden="false" customHeight="true" outlineLevel="0" collapsed="false">
      <c r="A30" s="90" t="n">
        <v>6</v>
      </c>
      <c r="B30" s="124" t="s">
        <v>20</v>
      </c>
      <c r="C30" s="57"/>
      <c r="D30" s="57"/>
      <c r="E30" s="57"/>
      <c r="F30" s="92"/>
      <c r="G30" s="93" t="n">
        <f aca="false">J30*(1-I30)</f>
        <v>17080</v>
      </c>
      <c r="H30" s="94"/>
      <c r="I30" s="95" t="n">
        <v>0.3</v>
      </c>
      <c r="J30" s="54" t="n">
        <v>24400</v>
      </c>
      <c r="K30" s="90" t="n">
        <v>1</v>
      </c>
      <c r="L30" s="57" t="n">
        <f aca="false">J30*K30</f>
        <v>24400</v>
      </c>
      <c r="M30" s="56" t="n">
        <f aca="false">SUM(G30*K30)</f>
        <v>17080</v>
      </c>
      <c r="N30" s="57" t="n">
        <f aca="false">SUM(L30)</f>
        <v>24400</v>
      </c>
      <c r="O30" s="57" t="n">
        <f aca="false">L30</f>
        <v>24400</v>
      </c>
      <c r="P30" s="96" t="n">
        <f aca="false">N30</f>
        <v>24400</v>
      </c>
      <c r="Q30" s="125" t="s">
        <v>21</v>
      </c>
    </row>
    <row r="31" customFormat="false" ht="13.65" hidden="false" customHeight="true" outlineLevel="0" collapsed="false">
      <c r="A31" s="55"/>
      <c r="B31" s="126" t="s">
        <v>22</v>
      </c>
      <c r="C31" s="49"/>
      <c r="D31" s="49"/>
      <c r="E31" s="49"/>
      <c r="F31" s="50"/>
      <c r="G31" s="51"/>
      <c r="H31" s="52"/>
      <c r="I31" s="53"/>
      <c r="J31" s="54"/>
      <c r="K31" s="55"/>
      <c r="L31" s="49"/>
      <c r="M31" s="56"/>
      <c r="N31" s="57"/>
      <c r="O31" s="49"/>
      <c r="P31" s="57"/>
      <c r="Q31" s="79"/>
    </row>
    <row r="32" customFormat="false" ht="13.65" hidden="false" customHeight="true" outlineLevel="0" collapsed="false">
      <c r="A32" s="118"/>
      <c r="B32" s="127"/>
      <c r="C32" s="119"/>
      <c r="D32" s="119"/>
      <c r="E32" s="119"/>
      <c r="F32" s="120"/>
      <c r="G32" s="121"/>
      <c r="H32" s="122"/>
      <c r="I32" s="123"/>
      <c r="J32" s="54"/>
      <c r="K32" s="118"/>
      <c r="L32" s="119"/>
      <c r="M32" s="56"/>
      <c r="N32" s="57"/>
      <c r="O32" s="119"/>
      <c r="P32" s="57"/>
      <c r="Q32" s="35"/>
    </row>
    <row r="33" customFormat="false" ht="13.65" hidden="false" customHeight="true" outlineLevel="0" collapsed="false">
      <c r="A33" s="90" t="n">
        <v>7</v>
      </c>
      <c r="B33" s="128" t="s">
        <v>23</v>
      </c>
      <c r="C33" s="57"/>
      <c r="D33" s="57"/>
      <c r="E33" s="57"/>
      <c r="F33" s="92"/>
      <c r="G33" s="93" t="n">
        <v>3850</v>
      </c>
      <c r="H33" s="94"/>
      <c r="I33" s="95" t="n">
        <v>0.3</v>
      </c>
      <c r="J33" s="54" t="n">
        <f aca="false">G33/(1-I33)</f>
        <v>5500</v>
      </c>
      <c r="K33" s="90" t="n">
        <v>1</v>
      </c>
      <c r="L33" s="57" t="n">
        <f aca="false">J33*K33</f>
        <v>5500</v>
      </c>
      <c r="M33" s="56" t="n">
        <f aca="false">SUM(G33*K33)</f>
        <v>3850</v>
      </c>
      <c r="N33" s="57" t="n">
        <f aca="false">SUM(L33)</f>
        <v>5500</v>
      </c>
      <c r="O33" s="57" t="n">
        <f aca="false">L33</f>
        <v>5500</v>
      </c>
      <c r="P33" s="96" t="n">
        <f aca="false">N33</f>
        <v>5500</v>
      </c>
      <c r="Q33" s="46"/>
    </row>
    <row r="34" customFormat="false" ht="15" hidden="false" customHeight="true" outlineLevel="0" collapsed="false">
      <c r="A34" s="109"/>
      <c r="B34" s="104"/>
      <c r="C34" s="105"/>
      <c r="D34" s="105"/>
      <c r="E34" s="105"/>
      <c r="F34" s="106"/>
      <c r="G34" s="107"/>
      <c r="H34" s="103"/>
      <c r="I34" s="108"/>
      <c r="J34" s="76"/>
      <c r="K34" s="109"/>
      <c r="L34" s="105"/>
      <c r="M34" s="77"/>
      <c r="N34" s="78"/>
      <c r="O34" s="105"/>
      <c r="P34" s="78"/>
      <c r="Q34" s="46"/>
    </row>
    <row r="35" customFormat="false" ht="15" hidden="false" customHeight="true" outlineLevel="0" collapsed="false">
      <c r="A35" s="80"/>
      <c r="B35" s="81" t="s">
        <v>24</v>
      </c>
      <c r="C35" s="33"/>
      <c r="D35" s="33"/>
      <c r="E35" s="33"/>
      <c r="F35" s="82"/>
      <c r="G35" s="33"/>
      <c r="H35" s="33"/>
      <c r="I35" s="33"/>
      <c r="J35" s="33"/>
      <c r="K35" s="33"/>
      <c r="L35" s="33"/>
      <c r="M35" s="33"/>
      <c r="N35" s="33"/>
      <c r="O35" s="33"/>
      <c r="P35" s="34"/>
      <c r="Q35" s="46"/>
    </row>
    <row r="36" customFormat="false" ht="14.15" hidden="false" customHeight="true" outlineLevel="0" collapsed="false">
      <c r="A36" s="83"/>
      <c r="B36" s="129"/>
      <c r="C36" s="113"/>
      <c r="D36" s="113"/>
      <c r="E36" s="113"/>
      <c r="F36" s="114"/>
      <c r="G36" s="115"/>
      <c r="H36" s="116"/>
      <c r="I36" s="117"/>
      <c r="J36" s="38"/>
      <c r="K36" s="111"/>
      <c r="L36" s="113"/>
      <c r="M36" s="44"/>
      <c r="N36" s="39"/>
      <c r="O36" s="113"/>
      <c r="P36" s="39"/>
      <c r="Q36" s="46"/>
    </row>
    <row r="37" customFormat="false" ht="13.65" hidden="false" customHeight="true" outlineLevel="0" collapsed="false">
      <c r="A37" s="47"/>
      <c r="B37" s="130" t="s">
        <v>25</v>
      </c>
      <c r="C37" s="60"/>
      <c r="D37" s="60"/>
      <c r="E37" s="60" t="n">
        <f aca="false">C37</f>
        <v>0</v>
      </c>
      <c r="F37" s="61" t="n">
        <v>0.3</v>
      </c>
      <c r="G37" s="8" t="n">
        <f aca="false">E37*(1-F37)</f>
        <v>0</v>
      </c>
      <c r="H37" s="7"/>
      <c r="I37" s="62" t="n">
        <v>0.3</v>
      </c>
      <c r="J37" s="54" t="n">
        <f aca="false">G37/(1-I37)</f>
        <v>0</v>
      </c>
      <c r="K37" s="63" t="n">
        <v>1</v>
      </c>
      <c r="L37" s="60" t="n">
        <f aca="false">J37*K37</f>
        <v>0</v>
      </c>
      <c r="M37" s="56"/>
      <c r="N37" s="57"/>
      <c r="O37" s="60"/>
      <c r="P37" s="57"/>
      <c r="Q37" s="131" t="s">
        <v>26</v>
      </c>
    </row>
    <row r="38" customFormat="false" ht="13.65" hidden="false" customHeight="true" outlineLevel="0" collapsed="false">
      <c r="A38" s="47"/>
      <c r="B38" s="59"/>
      <c r="C38" s="60"/>
      <c r="D38" s="60"/>
      <c r="E38" s="60"/>
      <c r="F38" s="61"/>
      <c r="G38" s="8"/>
      <c r="H38" s="7"/>
      <c r="I38" s="62"/>
      <c r="J38" s="54"/>
      <c r="K38" s="63"/>
      <c r="L38" s="60"/>
      <c r="M38" s="56"/>
      <c r="N38" s="57"/>
      <c r="O38" s="60"/>
      <c r="P38" s="57"/>
      <c r="Q38" s="46"/>
    </row>
    <row r="39" customFormat="false" ht="13.65" hidden="false" customHeight="true" outlineLevel="0" collapsed="false">
      <c r="A39" s="47"/>
      <c r="B39" s="130" t="s">
        <v>27</v>
      </c>
      <c r="C39" s="60"/>
      <c r="D39" s="60"/>
      <c r="E39" s="60" t="n">
        <f aca="false">C39</f>
        <v>0</v>
      </c>
      <c r="F39" s="61" t="n">
        <v>0.3</v>
      </c>
      <c r="G39" s="8" t="n">
        <f aca="false">E39*(1-F39)</f>
        <v>0</v>
      </c>
      <c r="H39" s="7"/>
      <c r="I39" s="62" t="n">
        <v>0.3</v>
      </c>
      <c r="J39" s="54" t="n">
        <f aca="false">G39/(1-I39)</f>
        <v>0</v>
      </c>
      <c r="K39" s="63" t="n">
        <v>1</v>
      </c>
      <c r="L39" s="60" t="n">
        <f aca="false">J39*K39</f>
        <v>0</v>
      </c>
      <c r="M39" s="56"/>
      <c r="N39" s="57"/>
      <c r="O39" s="60"/>
      <c r="P39" s="57"/>
      <c r="Q39" s="131" t="s">
        <v>26</v>
      </c>
    </row>
    <row r="40" customFormat="false" ht="13.65" hidden="false" customHeight="true" outlineLevel="0" collapsed="false">
      <c r="A40" s="47"/>
      <c r="B40" s="59"/>
      <c r="C40" s="60"/>
      <c r="D40" s="60"/>
      <c r="E40" s="60"/>
      <c r="F40" s="61"/>
      <c r="G40" s="8"/>
      <c r="H40" s="7"/>
      <c r="I40" s="62"/>
      <c r="J40" s="54"/>
      <c r="K40" s="63"/>
      <c r="L40" s="60"/>
      <c r="M40" s="56"/>
      <c r="N40" s="57"/>
      <c r="O40" s="60"/>
      <c r="P40" s="57"/>
      <c r="Q40" s="46"/>
    </row>
    <row r="41" customFormat="false" ht="13.65" hidden="false" customHeight="true" outlineLevel="0" collapsed="false">
      <c r="A41" s="47"/>
      <c r="B41" s="130" t="s">
        <v>28</v>
      </c>
      <c r="C41" s="60"/>
      <c r="D41" s="60"/>
      <c r="E41" s="60" t="n">
        <f aca="false">C41</f>
        <v>0</v>
      </c>
      <c r="F41" s="61" t="n">
        <v>0.3</v>
      </c>
      <c r="G41" s="8" t="n">
        <f aca="false">E41*(1-F41)</f>
        <v>0</v>
      </c>
      <c r="H41" s="7"/>
      <c r="I41" s="62" t="n">
        <v>0.3</v>
      </c>
      <c r="J41" s="54" t="n">
        <f aca="false">G41/(1-I41)</f>
        <v>0</v>
      </c>
      <c r="K41" s="63" t="n">
        <v>1</v>
      </c>
      <c r="L41" s="60" t="n">
        <f aca="false">J41*K41</f>
        <v>0</v>
      </c>
      <c r="M41" s="56"/>
      <c r="N41" s="57"/>
      <c r="O41" s="60"/>
      <c r="P41" s="57"/>
      <c r="Q41" s="131" t="s">
        <v>26</v>
      </c>
    </row>
    <row r="42" customFormat="false" ht="13.65" hidden="false" customHeight="true" outlineLevel="0" collapsed="false">
      <c r="A42" s="47"/>
      <c r="B42" s="59"/>
      <c r="C42" s="60"/>
      <c r="D42" s="60"/>
      <c r="E42" s="60"/>
      <c r="F42" s="61"/>
      <c r="G42" s="8"/>
      <c r="H42" s="7"/>
      <c r="I42" s="62"/>
      <c r="J42" s="54"/>
      <c r="K42" s="63"/>
      <c r="L42" s="60"/>
      <c r="M42" s="56"/>
      <c r="N42" s="57"/>
      <c r="O42" s="60"/>
      <c r="P42" s="57"/>
      <c r="Q42" s="46"/>
    </row>
    <row r="43" customFormat="false" ht="13.65" hidden="false" customHeight="true" outlineLevel="0" collapsed="false">
      <c r="A43" s="47"/>
      <c r="B43" s="130" t="s">
        <v>29</v>
      </c>
      <c r="C43" s="60"/>
      <c r="D43" s="60"/>
      <c r="E43" s="60" t="n">
        <f aca="false">C43</f>
        <v>0</v>
      </c>
      <c r="F43" s="61" t="n">
        <v>0.3</v>
      </c>
      <c r="G43" s="8" t="n">
        <f aca="false">E43*(1-F43)</f>
        <v>0</v>
      </c>
      <c r="H43" s="7"/>
      <c r="I43" s="62" t="n">
        <v>0.3</v>
      </c>
      <c r="J43" s="54" t="n">
        <f aca="false">G43/(1-I43)</f>
        <v>0</v>
      </c>
      <c r="K43" s="63" t="n">
        <v>1</v>
      </c>
      <c r="L43" s="60" t="n">
        <f aca="false">J43*K43</f>
        <v>0</v>
      </c>
      <c r="M43" s="56"/>
      <c r="N43" s="57"/>
      <c r="O43" s="60"/>
      <c r="P43" s="57"/>
      <c r="Q43" s="131" t="s">
        <v>26</v>
      </c>
    </row>
    <row r="44" customFormat="false" ht="13.65" hidden="false" customHeight="true" outlineLevel="0" collapsed="false">
      <c r="A44" s="47"/>
      <c r="B44" s="59"/>
      <c r="C44" s="60"/>
      <c r="D44" s="60"/>
      <c r="E44" s="60"/>
      <c r="F44" s="61"/>
      <c r="G44" s="8"/>
      <c r="H44" s="7"/>
      <c r="I44" s="62"/>
      <c r="J44" s="54"/>
      <c r="K44" s="63"/>
      <c r="L44" s="60"/>
      <c r="M44" s="56"/>
      <c r="N44" s="57"/>
      <c r="O44" s="60"/>
      <c r="P44" s="57"/>
      <c r="Q44" s="46"/>
    </row>
    <row r="45" customFormat="false" ht="13.65" hidden="false" customHeight="true" outlineLevel="0" collapsed="false">
      <c r="A45" s="47"/>
      <c r="B45" s="130" t="s">
        <v>30</v>
      </c>
      <c r="C45" s="60"/>
      <c r="D45" s="60"/>
      <c r="E45" s="60" t="n">
        <f aca="false">C45</f>
        <v>0</v>
      </c>
      <c r="F45" s="61" t="n">
        <v>0.3</v>
      </c>
      <c r="G45" s="8" t="n">
        <f aca="false">E45*(1-F45)</f>
        <v>0</v>
      </c>
      <c r="H45" s="7"/>
      <c r="I45" s="62" t="n">
        <v>0.3</v>
      </c>
      <c r="J45" s="54" t="n">
        <f aca="false">G45/(1-I45)</f>
        <v>0</v>
      </c>
      <c r="K45" s="63" t="n">
        <v>1</v>
      </c>
      <c r="L45" s="60" t="n">
        <f aca="false">J45*K45</f>
        <v>0</v>
      </c>
      <c r="M45" s="56"/>
      <c r="N45" s="57"/>
      <c r="O45" s="60"/>
      <c r="P45" s="57"/>
      <c r="Q45" s="131" t="s">
        <v>26</v>
      </c>
    </row>
    <row r="46" customFormat="false" ht="13.65" hidden="false" customHeight="true" outlineLevel="0" collapsed="false">
      <c r="A46" s="47"/>
      <c r="B46" s="59"/>
      <c r="C46" s="60"/>
      <c r="D46" s="60"/>
      <c r="E46" s="60"/>
      <c r="F46" s="61"/>
      <c r="G46" s="8"/>
      <c r="H46" s="7"/>
      <c r="I46" s="62"/>
      <c r="J46" s="54"/>
      <c r="K46" s="63"/>
      <c r="L46" s="60"/>
      <c r="M46" s="56"/>
      <c r="N46" s="57"/>
      <c r="O46" s="60"/>
      <c r="P46" s="57"/>
      <c r="Q46" s="46"/>
    </row>
    <row r="47" customFormat="false" ht="13.65" hidden="false" customHeight="true" outlineLevel="0" collapsed="false">
      <c r="A47" s="47"/>
      <c r="B47" s="130" t="s">
        <v>31</v>
      </c>
      <c r="C47" s="60"/>
      <c r="D47" s="60"/>
      <c r="E47" s="60" t="n">
        <f aca="false">C47</f>
        <v>0</v>
      </c>
      <c r="F47" s="61" t="n">
        <v>0.3</v>
      </c>
      <c r="G47" s="8" t="n">
        <f aca="false">E47*(1-F47)</f>
        <v>0</v>
      </c>
      <c r="H47" s="7"/>
      <c r="I47" s="62" t="n">
        <v>0.3</v>
      </c>
      <c r="J47" s="54" t="n">
        <f aca="false">G47/(1-I47)</f>
        <v>0</v>
      </c>
      <c r="K47" s="63" t="n">
        <v>1</v>
      </c>
      <c r="L47" s="60" t="n">
        <f aca="false">J47*K47</f>
        <v>0</v>
      </c>
      <c r="M47" s="56"/>
      <c r="N47" s="57"/>
      <c r="O47" s="60"/>
      <c r="P47" s="57"/>
      <c r="Q47" s="131" t="s">
        <v>26</v>
      </c>
    </row>
    <row r="48" customFormat="false" ht="13.65" hidden="false" customHeight="true" outlineLevel="0" collapsed="false">
      <c r="A48" s="47"/>
      <c r="B48" s="59"/>
      <c r="C48" s="60"/>
      <c r="D48" s="60"/>
      <c r="E48" s="60"/>
      <c r="F48" s="61"/>
      <c r="G48" s="8"/>
      <c r="H48" s="7"/>
      <c r="I48" s="62"/>
      <c r="J48" s="54"/>
      <c r="K48" s="63"/>
      <c r="L48" s="60"/>
      <c r="M48" s="56"/>
      <c r="N48" s="57"/>
      <c r="O48" s="60"/>
      <c r="P48" s="57"/>
      <c r="Q48" s="46"/>
    </row>
    <row r="49" customFormat="false" ht="13.65" hidden="false" customHeight="true" outlineLevel="0" collapsed="false">
      <c r="A49" s="47"/>
      <c r="B49" s="130" t="s">
        <v>32</v>
      </c>
      <c r="C49" s="60"/>
      <c r="D49" s="60"/>
      <c r="E49" s="60" t="n">
        <f aca="false">C49</f>
        <v>0</v>
      </c>
      <c r="F49" s="61" t="n">
        <v>0.3</v>
      </c>
      <c r="G49" s="8" t="n">
        <f aca="false">E49*(1-F49)</f>
        <v>0</v>
      </c>
      <c r="H49" s="7"/>
      <c r="I49" s="62" t="n">
        <v>0.3</v>
      </c>
      <c r="J49" s="54" t="n">
        <f aca="false">G49/(1-I49)</f>
        <v>0</v>
      </c>
      <c r="K49" s="63" t="n">
        <v>1</v>
      </c>
      <c r="L49" s="60" t="n">
        <f aca="false">J49*K49</f>
        <v>0</v>
      </c>
      <c r="M49" s="56"/>
      <c r="N49" s="57"/>
      <c r="O49" s="60"/>
      <c r="P49" s="57"/>
      <c r="Q49" s="131" t="s">
        <v>26</v>
      </c>
    </row>
    <row r="50" customFormat="false" ht="13.65" hidden="false" customHeight="true" outlineLevel="0" collapsed="false">
      <c r="A50" s="47"/>
      <c r="B50" s="59"/>
      <c r="C50" s="60"/>
      <c r="D50" s="60"/>
      <c r="E50" s="60"/>
      <c r="F50" s="61"/>
      <c r="G50" s="8"/>
      <c r="H50" s="7"/>
      <c r="I50" s="62"/>
      <c r="J50" s="54"/>
      <c r="K50" s="63"/>
      <c r="L50" s="60"/>
      <c r="M50" s="56"/>
      <c r="N50" s="57"/>
      <c r="O50" s="60"/>
      <c r="P50" s="57"/>
      <c r="Q50" s="46"/>
    </row>
    <row r="51" customFormat="false" ht="13.65" hidden="false" customHeight="true" outlineLevel="0" collapsed="false">
      <c r="A51" s="47"/>
      <c r="B51" s="130" t="s">
        <v>33</v>
      </c>
      <c r="C51" s="60"/>
      <c r="D51" s="60"/>
      <c r="E51" s="60" t="n">
        <f aca="false">C51</f>
        <v>0</v>
      </c>
      <c r="F51" s="61" t="n">
        <v>0.3</v>
      </c>
      <c r="G51" s="8" t="n">
        <f aca="false">E51*(1-F51)</f>
        <v>0</v>
      </c>
      <c r="H51" s="7"/>
      <c r="I51" s="62" t="n">
        <v>0.3</v>
      </c>
      <c r="J51" s="54" t="n">
        <f aca="false">G51/(1-I51)</f>
        <v>0</v>
      </c>
      <c r="K51" s="63" t="n">
        <v>1</v>
      </c>
      <c r="L51" s="60" t="n">
        <f aca="false">J51*K51</f>
        <v>0</v>
      </c>
      <c r="M51" s="56"/>
      <c r="N51" s="57"/>
      <c r="O51" s="60"/>
      <c r="P51" s="57"/>
      <c r="Q51" s="131" t="s">
        <v>26</v>
      </c>
    </row>
    <row r="52" customFormat="false" ht="13.65" hidden="false" customHeight="true" outlineLevel="0" collapsed="false">
      <c r="A52" s="47"/>
      <c r="B52" s="59"/>
      <c r="C52" s="60"/>
      <c r="D52" s="60"/>
      <c r="E52" s="60"/>
      <c r="F52" s="61"/>
      <c r="G52" s="8"/>
      <c r="H52" s="7"/>
      <c r="I52" s="62"/>
      <c r="J52" s="54"/>
      <c r="K52" s="63"/>
      <c r="L52" s="60"/>
      <c r="M52" s="56"/>
      <c r="N52" s="57"/>
      <c r="O52" s="60"/>
      <c r="P52" s="57"/>
      <c r="Q52" s="46"/>
    </row>
    <row r="53" customFormat="false" ht="13.65" hidden="false" customHeight="true" outlineLevel="0" collapsed="false">
      <c r="A53" s="47"/>
      <c r="B53" s="130" t="s">
        <v>34</v>
      </c>
      <c r="C53" s="60"/>
      <c r="D53" s="60"/>
      <c r="E53" s="60" t="n">
        <f aca="false">C53</f>
        <v>0</v>
      </c>
      <c r="F53" s="61" t="n">
        <v>0.3</v>
      </c>
      <c r="G53" s="8" t="n">
        <f aca="false">E53*(1-F53)</f>
        <v>0</v>
      </c>
      <c r="H53" s="7"/>
      <c r="I53" s="62" t="n">
        <v>0.3</v>
      </c>
      <c r="J53" s="54" t="n">
        <f aca="false">G53/(1-I53)</f>
        <v>0</v>
      </c>
      <c r="K53" s="63" t="n">
        <v>1</v>
      </c>
      <c r="L53" s="60" t="n">
        <f aca="false">J53*K53</f>
        <v>0</v>
      </c>
      <c r="M53" s="56"/>
      <c r="N53" s="57"/>
      <c r="O53" s="60"/>
      <c r="P53" s="57"/>
      <c r="Q53" s="131" t="s">
        <v>26</v>
      </c>
    </row>
    <row r="54" customFormat="false" ht="13.65" hidden="false" customHeight="true" outlineLevel="0" collapsed="false">
      <c r="A54" s="47"/>
      <c r="B54" s="59"/>
      <c r="C54" s="60"/>
      <c r="D54" s="60"/>
      <c r="E54" s="60"/>
      <c r="F54" s="61"/>
      <c r="G54" s="8"/>
      <c r="H54" s="7"/>
      <c r="I54" s="62"/>
      <c r="J54" s="54"/>
      <c r="K54" s="63"/>
      <c r="L54" s="60"/>
      <c r="M54" s="56"/>
      <c r="N54" s="57"/>
      <c r="O54" s="60"/>
      <c r="P54" s="57"/>
      <c r="Q54" s="46"/>
    </row>
    <row r="55" customFormat="false" ht="13.65" hidden="false" customHeight="true" outlineLevel="0" collapsed="false">
      <c r="A55" s="47"/>
      <c r="B55" s="130" t="s">
        <v>35</v>
      </c>
      <c r="C55" s="60"/>
      <c r="D55" s="60"/>
      <c r="E55" s="60" t="n">
        <f aca="false">C55</f>
        <v>0</v>
      </c>
      <c r="F55" s="61" t="n">
        <v>0.3</v>
      </c>
      <c r="G55" s="8" t="n">
        <f aca="false">E55*(1-F55)</f>
        <v>0</v>
      </c>
      <c r="H55" s="7"/>
      <c r="I55" s="62" t="n">
        <v>0.3</v>
      </c>
      <c r="J55" s="54" t="n">
        <f aca="false">G55/(1-I55)</f>
        <v>0</v>
      </c>
      <c r="K55" s="63" t="n">
        <v>1</v>
      </c>
      <c r="L55" s="60" t="n">
        <f aca="false">J55*K55</f>
        <v>0</v>
      </c>
      <c r="M55" s="56"/>
      <c r="N55" s="57"/>
      <c r="O55" s="60"/>
      <c r="P55" s="57"/>
      <c r="Q55" s="131" t="s">
        <v>26</v>
      </c>
    </row>
    <row r="56" customFormat="false" ht="13.65" hidden="false" customHeight="true" outlineLevel="0" collapsed="false">
      <c r="A56" s="47"/>
      <c r="B56" s="59"/>
      <c r="C56" s="60"/>
      <c r="D56" s="60"/>
      <c r="E56" s="60"/>
      <c r="F56" s="61"/>
      <c r="G56" s="8"/>
      <c r="H56" s="7"/>
      <c r="I56" s="62"/>
      <c r="J56" s="54"/>
      <c r="K56" s="63"/>
      <c r="L56" s="60"/>
      <c r="M56" s="56"/>
      <c r="N56" s="57"/>
      <c r="O56" s="60"/>
      <c r="P56" s="57"/>
      <c r="Q56" s="46"/>
    </row>
    <row r="57" customFormat="false" ht="13.65" hidden="false" customHeight="true" outlineLevel="0" collapsed="false">
      <c r="A57" s="47"/>
      <c r="B57" s="130" t="s">
        <v>36</v>
      </c>
      <c r="C57" s="60"/>
      <c r="D57" s="60"/>
      <c r="E57" s="60" t="n">
        <f aca="false">C57</f>
        <v>0</v>
      </c>
      <c r="F57" s="61" t="n">
        <v>0.3</v>
      </c>
      <c r="G57" s="8" t="n">
        <f aca="false">E57*(1-F57)</f>
        <v>0</v>
      </c>
      <c r="H57" s="7"/>
      <c r="I57" s="62" t="n">
        <v>0.3</v>
      </c>
      <c r="J57" s="54" t="n">
        <f aca="false">G57/(1-I57)</f>
        <v>0</v>
      </c>
      <c r="K57" s="63" t="n">
        <v>1</v>
      </c>
      <c r="L57" s="60" t="n">
        <f aca="false">J57*K57</f>
        <v>0</v>
      </c>
      <c r="M57" s="56"/>
      <c r="N57" s="57"/>
      <c r="O57" s="60"/>
      <c r="P57" s="57"/>
      <c r="Q57" s="131" t="s">
        <v>26</v>
      </c>
    </row>
    <row r="58" customFormat="false" ht="13.65" hidden="false" customHeight="true" outlineLevel="0" collapsed="false">
      <c r="A58" s="47"/>
      <c r="B58" s="59"/>
      <c r="C58" s="60"/>
      <c r="D58" s="60"/>
      <c r="E58" s="60"/>
      <c r="F58" s="61"/>
      <c r="G58" s="8"/>
      <c r="H58" s="7"/>
      <c r="I58" s="62"/>
      <c r="J58" s="54"/>
      <c r="K58" s="63"/>
      <c r="L58" s="60"/>
      <c r="M58" s="56"/>
      <c r="N58" s="57"/>
      <c r="O58" s="60"/>
      <c r="P58" s="57"/>
      <c r="Q58" s="46"/>
    </row>
    <row r="59" customFormat="false" ht="13.65" hidden="false" customHeight="true" outlineLevel="0" collapsed="false">
      <c r="A59" s="47"/>
      <c r="B59" s="130" t="s">
        <v>37</v>
      </c>
      <c r="C59" s="132"/>
      <c r="D59" s="60"/>
      <c r="E59" s="60" t="n">
        <f aca="false">C59</f>
        <v>0</v>
      </c>
      <c r="F59" s="61" t="n">
        <v>0.3</v>
      </c>
      <c r="G59" s="8" t="n">
        <f aca="false">E59*(1-F59)</f>
        <v>0</v>
      </c>
      <c r="H59" s="7"/>
      <c r="I59" s="62" t="n">
        <v>0.3</v>
      </c>
      <c r="J59" s="54" t="n">
        <f aca="false">G59/(1-I59)</f>
        <v>0</v>
      </c>
      <c r="K59" s="63" t="n">
        <v>1</v>
      </c>
      <c r="L59" s="60" t="n">
        <f aca="false">J59*K59</f>
        <v>0</v>
      </c>
      <c r="M59" s="56"/>
      <c r="N59" s="57"/>
      <c r="O59" s="60"/>
      <c r="P59" s="57"/>
      <c r="Q59" s="46"/>
    </row>
    <row r="60" customFormat="false" ht="13.65" hidden="false" customHeight="true" outlineLevel="0" collapsed="false">
      <c r="A60" s="47"/>
      <c r="B60" s="59"/>
      <c r="C60" s="60"/>
      <c r="D60" s="60"/>
      <c r="E60" s="60"/>
      <c r="F60" s="61"/>
      <c r="G60" s="8"/>
      <c r="H60" s="7"/>
      <c r="I60" s="62"/>
      <c r="J60" s="54"/>
      <c r="K60" s="63"/>
      <c r="L60" s="60"/>
      <c r="M60" s="56"/>
      <c r="N60" s="57"/>
      <c r="O60" s="60"/>
      <c r="P60" s="57"/>
      <c r="Q60" s="46"/>
    </row>
    <row r="61" customFormat="false" ht="13.65" hidden="false" customHeight="true" outlineLevel="0" collapsed="false">
      <c r="A61" s="47"/>
      <c r="B61" s="130" t="s">
        <v>38</v>
      </c>
      <c r="C61" s="132"/>
      <c r="D61" s="60"/>
      <c r="E61" s="60" t="n">
        <f aca="false">C61</f>
        <v>0</v>
      </c>
      <c r="F61" s="61" t="n">
        <v>0.3</v>
      </c>
      <c r="G61" s="8" t="n">
        <f aca="false">E61*(1-F61)</f>
        <v>0</v>
      </c>
      <c r="H61" s="7"/>
      <c r="I61" s="62" t="n">
        <v>0.3</v>
      </c>
      <c r="J61" s="54" t="n">
        <f aca="false">G61/(1-I61)</f>
        <v>0</v>
      </c>
      <c r="K61" s="63" t="n">
        <v>1</v>
      </c>
      <c r="L61" s="60" t="n">
        <f aca="false">J61*K61</f>
        <v>0</v>
      </c>
      <c r="M61" s="56"/>
      <c r="N61" s="57"/>
      <c r="O61" s="60"/>
      <c r="P61" s="57"/>
      <c r="Q61" s="46"/>
    </row>
    <row r="62" customFormat="false" ht="13.65" hidden="false" customHeight="true" outlineLevel="0" collapsed="false">
      <c r="A62" s="47"/>
      <c r="B62" s="130"/>
      <c r="C62" s="132"/>
      <c r="D62" s="60"/>
      <c r="E62" s="60"/>
      <c r="F62" s="61"/>
      <c r="G62" s="8"/>
      <c r="H62" s="7"/>
      <c r="I62" s="62"/>
      <c r="J62" s="54"/>
      <c r="K62" s="63"/>
      <c r="L62" s="60"/>
      <c r="M62" s="56"/>
      <c r="N62" s="57"/>
      <c r="O62" s="60"/>
      <c r="P62" s="57"/>
      <c r="Q62" s="46"/>
    </row>
    <row r="63" customFormat="false" ht="13.65" hidden="false" customHeight="true" outlineLevel="0" collapsed="false">
      <c r="A63" s="47"/>
      <c r="B63" s="133" t="s">
        <v>39</v>
      </c>
      <c r="C63" s="132"/>
      <c r="D63" s="60"/>
      <c r="E63" s="60" t="n">
        <f aca="false">C63</f>
        <v>0</v>
      </c>
      <c r="F63" s="61" t="n">
        <v>0.3</v>
      </c>
      <c r="G63" s="8" t="n">
        <f aca="false">E63*(1-F63)</f>
        <v>0</v>
      </c>
      <c r="H63" s="7"/>
      <c r="I63" s="62" t="n">
        <v>0.3</v>
      </c>
      <c r="J63" s="54" t="n">
        <f aca="false">G63/(1-I63)</f>
        <v>0</v>
      </c>
      <c r="K63" s="63" t="n">
        <v>40</v>
      </c>
      <c r="L63" s="60" t="n">
        <f aca="false">J63*K63</f>
        <v>0</v>
      </c>
      <c r="M63" s="56"/>
      <c r="N63" s="57"/>
      <c r="O63" s="60"/>
      <c r="P63" s="57"/>
      <c r="Q63" s="46"/>
    </row>
    <row r="64" customFormat="false" ht="13.65" hidden="false" customHeight="true" outlineLevel="0" collapsed="false">
      <c r="A64" s="47"/>
      <c r="B64" s="59"/>
      <c r="C64" s="60"/>
      <c r="D64" s="60"/>
      <c r="E64" s="60"/>
      <c r="F64" s="61"/>
      <c r="G64" s="8"/>
      <c r="H64" s="7"/>
      <c r="I64" s="62"/>
      <c r="J64" s="54"/>
      <c r="K64" s="63"/>
      <c r="L64" s="60"/>
      <c r="M64" s="56"/>
      <c r="N64" s="57"/>
      <c r="O64" s="60"/>
      <c r="P64" s="57"/>
      <c r="Q64" s="46"/>
    </row>
    <row r="65" customFormat="false" ht="13.65" hidden="false" customHeight="true" outlineLevel="0" collapsed="false">
      <c r="A65" s="47"/>
      <c r="B65" s="59" t="s">
        <v>40</v>
      </c>
      <c r="C65" s="60"/>
      <c r="D65" s="60"/>
      <c r="E65" s="60" t="n">
        <f aca="false">C65</f>
        <v>0</v>
      </c>
      <c r="F65" s="61" t="n">
        <v>0.3</v>
      </c>
      <c r="G65" s="8" t="n">
        <f aca="false">E65*(1-F65)</f>
        <v>0</v>
      </c>
      <c r="H65" s="7"/>
      <c r="I65" s="62" t="n">
        <v>0.3</v>
      </c>
      <c r="J65" s="54" t="n">
        <f aca="false">G65/(1-I65)</f>
        <v>0</v>
      </c>
      <c r="K65" s="63" t="n">
        <v>50</v>
      </c>
      <c r="L65" s="60" t="n">
        <f aca="false">J65*K65</f>
        <v>0</v>
      </c>
      <c r="M65" s="56"/>
      <c r="N65" s="57"/>
      <c r="O65" s="60"/>
      <c r="P65" s="57"/>
      <c r="Q65" s="46"/>
    </row>
    <row r="66" customFormat="false" ht="13.65" hidden="false" customHeight="true" outlineLevel="0" collapsed="false">
      <c r="A66" s="47"/>
      <c r="B66" s="59"/>
      <c r="C66" s="60"/>
      <c r="D66" s="60"/>
      <c r="E66" s="60"/>
      <c r="F66" s="61"/>
      <c r="G66" s="8"/>
      <c r="H66" s="7"/>
      <c r="I66" s="62"/>
      <c r="J66" s="54"/>
      <c r="K66" s="63"/>
      <c r="L66" s="60"/>
      <c r="M66" s="56"/>
      <c r="N66" s="57"/>
      <c r="O66" s="60"/>
      <c r="P66" s="57"/>
      <c r="Q66" s="46"/>
    </row>
    <row r="67" customFormat="false" ht="13.65" hidden="false" customHeight="true" outlineLevel="0" collapsed="false">
      <c r="A67" s="47"/>
      <c r="B67" s="59" t="s">
        <v>41</v>
      </c>
      <c r="C67" s="60"/>
      <c r="D67" s="60"/>
      <c r="E67" s="60" t="n">
        <f aca="false">C67</f>
        <v>0</v>
      </c>
      <c r="F67" s="61" t="n">
        <v>0.3</v>
      </c>
      <c r="G67" s="8" t="n">
        <f aca="false">E67*(1-F67)</f>
        <v>0</v>
      </c>
      <c r="H67" s="7"/>
      <c r="I67" s="62" t="n">
        <v>0.3</v>
      </c>
      <c r="J67" s="54" t="n">
        <f aca="false">G67/(1-I67)</f>
        <v>0</v>
      </c>
      <c r="K67" s="63" t="n">
        <v>50</v>
      </c>
      <c r="L67" s="60" t="n">
        <f aca="false">J67*K67</f>
        <v>0</v>
      </c>
      <c r="M67" s="56"/>
      <c r="N67" s="57"/>
      <c r="O67" s="60"/>
      <c r="P67" s="57"/>
      <c r="Q67" s="46"/>
    </row>
    <row r="68" customFormat="false" ht="13.65" hidden="false" customHeight="true" outlineLevel="0" collapsed="false">
      <c r="A68" s="47"/>
      <c r="B68" s="59"/>
      <c r="C68" s="60"/>
      <c r="D68" s="60"/>
      <c r="E68" s="60"/>
      <c r="F68" s="61"/>
      <c r="G68" s="8"/>
      <c r="H68" s="7"/>
      <c r="I68" s="62"/>
      <c r="J68" s="54"/>
      <c r="K68" s="63"/>
      <c r="L68" s="60"/>
      <c r="M68" s="56"/>
      <c r="N68" s="57"/>
      <c r="O68" s="60"/>
      <c r="P68" s="57"/>
      <c r="Q68" s="46"/>
    </row>
    <row r="69" customFormat="false" ht="13.65" hidden="false" customHeight="true" outlineLevel="0" collapsed="false">
      <c r="A69" s="47"/>
      <c r="B69" s="59" t="s">
        <v>42</v>
      </c>
      <c r="C69" s="60"/>
      <c r="D69" s="60"/>
      <c r="E69" s="60" t="n">
        <f aca="false">C69</f>
        <v>0</v>
      </c>
      <c r="F69" s="61" t="n">
        <v>0.3</v>
      </c>
      <c r="G69" s="8" t="n">
        <f aca="false">E69*(1-F69)</f>
        <v>0</v>
      </c>
      <c r="H69" s="7"/>
      <c r="I69" s="62" t="n">
        <v>0.3</v>
      </c>
      <c r="J69" s="54" t="n">
        <f aca="false">G69/(1-I69)</f>
        <v>0</v>
      </c>
      <c r="K69" s="63" t="n">
        <v>50</v>
      </c>
      <c r="L69" s="60" t="n">
        <f aca="false">J69*K69</f>
        <v>0</v>
      </c>
      <c r="M69" s="56"/>
      <c r="N69" s="57"/>
      <c r="O69" s="60"/>
      <c r="P69" s="57"/>
      <c r="Q69" s="46"/>
    </row>
    <row r="70" customFormat="false" ht="13.65" hidden="false" customHeight="true" outlineLevel="0" collapsed="false">
      <c r="A70" s="47"/>
      <c r="B70" s="59"/>
      <c r="C70" s="60"/>
      <c r="D70" s="60"/>
      <c r="E70" s="60"/>
      <c r="F70" s="61"/>
      <c r="G70" s="8"/>
      <c r="H70" s="7"/>
      <c r="I70" s="62"/>
      <c r="J70" s="54"/>
      <c r="K70" s="63"/>
      <c r="L70" s="60"/>
      <c r="M70" s="56"/>
      <c r="N70" s="57"/>
      <c r="O70" s="60"/>
      <c r="P70" s="57"/>
      <c r="Q70" s="46"/>
    </row>
    <row r="71" customFormat="false" ht="13.65" hidden="false" customHeight="true" outlineLevel="0" collapsed="false">
      <c r="A71" s="47"/>
      <c r="B71" s="59" t="s">
        <v>43</v>
      </c>
      <c r="C71" s="60"/>
      <c r="D71" s="63"/>
      <c r="E71" s="60" t="n">
        <f aca="false">C71</f>
        <v>0</v>
      </c>
      <c r="F71" s="61" t="n">
        <v>0.3</v>
      </c>
      <c r="G71" s="8" t="n">
        <f aca="false">E71*(1-F71)</f>
        <v>0</v>
      </c>
      <c r="H71" s="7"/>
      <c r="I71" s="62" t="n">
        <v>0.3</v>
      </c>
      <c r="J71" s="54" t="n">
        <f aca="false">G71/(1-I71)</f>
        <v>0</v>
      </c>
      <c r="K71" s="63" t="n">
        <v>50</v>
      </c>
      <c r="L71" s="60" t="n">
        <f aca="false">J71*K71</f>
        <v>0</v>
      </c>
      <c r="M71" s="56"/>
      <c r="N71" s="57"/>
      <c r="O71" s="60"/>
      <c r="P71" s="57"/>
      <c r="Q71" s="46"/>
    </row>
    <row r="72" customFormat="false" ht="13.65" hidden="false" customHeight="true" outlineLevel="0" collapsed="false">
      <c r="A72" s="47"/>
      <c r="B72" s="59"/>
      <c r="C72" s="60"/>
      <c r="D72" s="63"/>
      <c r="E72" s="63"/>
      <c r="F72" s="61"/>
      <c r="G72" s="8"/>
      <c r="H72" s="7"/>
      <c r="I72" s="62"/>
      <c r="J72" s="54"/>
      <c r="K72" s="63"/>
      <c r="L72" s="60"/>
      <c r="M72" s="56"/>
      <c r="N72" s="57"/>
      <c r="O72" s="60"/>
      <c r="P72" s="57"/>
      <c r="Q72" s="46"/>
    </row>
    <row r="73" customFormat="false" ht="13.65" hidden="false" customHeight="true" outlineLevel="0" collapsed="false">
      <c r="A73" s="47"/>
      <c r="B73" s="72" t="s">
        <v>44</v>
      </c>
      <c r="C73" s="73"/>
      <c r="D73" s="71"/>
      <c r="E73" s="73" t="n">
        <f aca="false">C73</f>
        <v>0</v>
      </c>
      <c r="F73" s="61" t="n">
        <v>0.3</v>
      </c>
      <c r="G73" s="8" t="n">
        <f aca="false">E73*(1-F73)</f>
        <v>0</v>
      </c>
      <c r="H73" s="7"/>
      <c r="I73" s="62" t="n">
        <v>0.3</v>
      </c>
      <c r="J73" s="54" t="n">
        <f aca="false">G73/(1-I73)</f>
        <v>0</v>
      </c>
      <c r="K73" s="63" t="n">
        <v>50</v>
      </c>
      <c r="L73" s="60" t="n">
        <f aca="false">J73*K73</f>
        <v>0</v>
      </c>
      <c r="M73" s="56"/>
      <c r="N73" s="57"/>
      <c r="O73" s="60"/>
      <c r="P73" s="57"/>
      <c r="Q73" s="46"/>
    </row>
    <row r="74" customFormat="false" ht="13.65" hidden="false" customHeight="true" outlineLevel="0" collapsed="false">
      <c r="A74" s="47"/>
      <c r="B74" s="72"/>
      <c r="C74" s="73"/>
      <c r="D74" s="71"/>
      <c r="E74" s="73"/>
      <c r="F74" s="61"/>
      <c r="G74" s="8"/>
      <c r="H74" s="7"/>
      <c r="I74" s="62"/>
      <c r="J74" s="54"/>
      <c r="K74" s="63"/>
      <c r="L74" s="60"/>
      <c r="M74" s="56"/>
      <c r="N74" s="57"/>
      <c r="O74" s="60"/>
      <c r="P74" s="57"/>
      <c r="Q74" s="46"/>
    </row>
    <row r="75" customFormat="false" ht="13.65" hidden="false" customHeight="true" outlineLevel="0" collapsed="false">
      <c r="A75" s="47"/>
      <c r="B75" s="72" t="s">
        <v>45</v>
      </c>
      <c r="C75" s="73"/>
      <c r="D75" s="71"/>
      <c r="E75" s="73" t="n">
        <f aca="false">C75</f>
        <v>0</v>
      </c>
      <c r="F75" s="61" t="n">
        <v>0.3</v>
      </c>
      <c r="G75" s="8" t="n">
        <f aca="false">E75*(1-F75)</f>
        <v>0</v>
      </c>
      <c r="H75" s="7"/>
      <c r="I75" s="62" t="n">
        <v>0.3</v>
      </c>
      <c r="J75" s="54" t="n">
        <f aca="false">G75/(1-I75)</f>
        <v>0</v>
      </c>
      <c r="K75" s="63" t="n">
        <v>50</v>
      </c>
      <c r="L75" s="60" t="n">
        <f aca="false">J75*K75</f>
        <v>0</v>
      </c>
      <c r="M75" s="56"/>
      <c r="N75" s="57"/>
      <c r="O75" s="60"/>
      <c r="P75" s="57"/>
      <c r="Q75" s="46"/>
    </row>
    <row r="76" customFormat="false" ht="13.65" hidden="false" customHeight="true" outlineLevel="0" collapsed="false">
      <c r="A76" s="47"/>
      <c r="B76" s="59"/>
      <c r="C76" s="60"/>
      <c r="D76" s="60"/>
      <c r="E76" s="60"/>
      <c r="F76" s="61"/>
      <c r="G76" s="8"/>
      <c r="H76" s="7"/>
      <c r="I76" s="62"/>
      <c r="J76" s="54"/>
      <c r="K76" s="63"/>
      <c r="L76" s="60"/>
      <c r="M76" s="56"/>
      <c r="N76" s="57"/>
      <c r="O76" s="60"/>
      <c r="P76" s="57"/>
      <c r="Q76" s="46"/>
    </row>
    <row r="77" customFormat="false" ht="15" hidden="false" customHeight="true" outlineLevel="0" collapsed="false">
      <c r="A77" s="55"/>
      <c r="B77" s="59"/>
      <c r="C77" s="60"/>
      <c r="D77" s="63"/>
      <c r="E77" s="60"/>
      <c r="F77" s="63"/>
      <c r="G77" s="2"/>
      <c r="H77" s="7"/>
      <c r="I77" s="63"/>
      <c r="J77" s="134"/>
      <c r="K77" s="63"/>
      <c r="L77" s="63"/>
      <c r="M77" s="135" t="s">
        <v>46</v>
      </c>
      <c r="N77" s="135" t="s">
        <v>47</v>
      </c>
      <c r="O77" s="73"/>
      <c r="P77" s="78"/>
      <c r="Q77" s="136"/>
    </row>
    <row r="78" customFormat="false" ht="15" hidden="false" customHeight="true" outlineLevel="0" collapsed="false">
      <c r="A78" s="55"/>
      <c r="B78" s="59"/>
      <c r="C78" s="60"/>
      <c r="D78" s="63"/>
      <c r="E78" s="63"/>
      <c r="F78" s="63"/>
      <c r="G78" s="2"/>
      <c r="H78" s="7"/>
      <c r="I78" s="63"/>
      <c r="J78" s="134"/>
      <c r="K78" s="63"/>
      <c r="L78" s="63"/>
      <c r="M78" s="135"/>
      <c r="N78" s="135"/>
      <c r="O78" s="73"/>
      <c r="P78" s="78"/>
      <c r="Q78" s="136"/>
    </row>
    <row r="79" customFormat="false" ht="15" hidden="false" customHeight="true" outlineLevel="0" collapsed="false">
      <c r="A79" s="71"/>
      <c r="B79" s="72"/>
      <c r="C79" s="73"/>
      <c r="D79" s="71"/>
      <c r="E79" s="73"/>
      <c r="F79" s="71"/>
      <c r="G79" s="20"/>
      <c r="H79" s="17"/>
      <c r="I79" s="71"/>
      <c r="J79" s="137"/>
      <c r="K79" s="71"/>
      <c r="L79" s="71"/>
      <c r="M79" s="78" t="n">
        <f aca="false">SUM(M7:M35)</f>
        <v>20930</v>
      </c>
      <c r="N79" s="78" t="n">
        <f aca="false">SUM(N6:N77)</f>
        <v>29900</v>
      </c>
      <c r="O79" s="138" t="s">
        <v>48</v>
      </c>
      <c r="P79" s="139" t="n">
        <f aca="false">SUM(P6:P77)</f>
        <v>29900</v>
      </c>
      <c r="Q79" s="140" t="n">
        <f aca="false">SUM(Q6:Q77)</f>
        <v>0</v>
      </c>
    </row>
    <row r="80" customFormat="false" ht="15" hidden="false" customHeight="true" outlineLevel="0" collapsed="false">
      <c r="A80" s="71"/>
      <c r="B80" s="72"/>
      <c r="C80" s="73"/>
      <c r="D80" s="71"/>
      <c r="E80" s="73"/>
      <c r="F80" s="71"/>
      <c r="G80" s="20"/>
      <c r="H80" s="17"/>
      <c r="I80" s="71"/>
      <c r="J80" s="137"/>
      <c r="K80" s="71"/>
      <c r="L80" s="71"/>
      <c r="M80" s="78"/>
      <c r="N80" s="78"/>
      <c r="O80" s="138"/>
      <c r="P80" s="139"/>
      <c r="Q80" s="140"/>
    </row>
    <row r="81" customFormat="false" ht="15" hidden="false" customHeight="true" outlineLevel="0" collapsed="false">
      <c r="A81" s="71"/>
      <c r="B81" s="72"/>
      <c r="C81" s="73"/>
      <c r="D81" s="71"/>
      <c r="E81" s="73"/>
      <c r="F81" s="71"/>
      <c r="G81" s="20"/>
      <c r="H81" s="17"/>
      <c r="I81" s="71"/>
      <c r="J81" s="137"/>
      <c r="K81" s="71"/>
      <c r="L81" s="71"/>
      <c r="M81" s="78"/>
      <c r="N81" s="78"/>
      <c r="O81" s="138"/>
      <c r="P81" s="139"/>
      <c r="Q81" s="140"/>
    </row>
    <row r="82" customFormat="false" ht="15" hidden="false" customHeight="true" outlineLevel="0" collapsed="false">
      <c r="A82" s="141"/>
      <c r="B82" s="142"/>
      <c r="C82" s="142"/>
      <c r="D82" s="142"/>
      <c r="E82" s="142"/>
      <c r="F82" s="142"/>
      <c r="G82" s="142"/>
      <c r="H82" s="142"/>
      <c r="I82" s="142"/>
      <c r="J82" s="143"/>
      <c r="K82" s="144"/>
      <c r="L82" s="145" t="s">
        <v>49</v>
      </c>
      <c r="M82" s="146"/>
      <c r="N82" s="147" t="n">
        <v>0</v>
      </c>
      <c r="O82" s="115"/>
      <c r="P82" s="148"/>
      <c r="Q82" s="140" t="n">
        <f aca="false">SUM(Q7:Q79)</f>
        <v>0</v>
      </c>
    </row>
    <row r="83" customFormat="false" ht="15" hidden="false" customHeight="true" outlineLevel="0" collapsed="false">
      <c r="A83" s="2"/>
      <c r="B83" s="5"/>
      <c r="C83" s="5"/>
      <c r="D83" s="5"/>
      <c r="E83" s="5"/>
      <c r="F83" s="5"/>
      <c r="G83" s="5"/>
      <c r="H83" s="5"/>
      <c r="I83" s="5"/>
      <c r="J83" s="149"/>
      <c r="K83" s="150"/>
      <c r="L83" s="151" t="s">
        <v>50</v>
      </c>
      <c r="M83" s="152"/>
      <c r="N83" s="153" t="n">
        <v>0</v>
      </c>
      <c r="O83" s="8"/>
      <c r="P83" s="4"/>
      <c r="Q83" s="154"/>
    </row>
    <row r="84" customFormat="false" ht="15" hidden="false" customHeight="true" outlineLevel="0" collapsed="false">
      <c r="A84" s="2"/>
      <c r="B84" s="5"/>
      <c r="C84" s="5"/>
      <c r="D84" s="5"/>
      <c r="E84" s="5"/>
      <c r="F84" s="5"/>
      <c r="G84" s="5"/>
      <c r="H84" s="5"/>
      <c r="I84" s="5"/>
      <c r="J84" s="5"/>
      <c r="K84" s="155"/>
      <c r="L84" s="116"/>
      <c r="M84" s="156" t="s">
        <v>51</v>
      </c>
      <c r="N84" s="157" t="n">
        <f aca="false">SUM(P79:P83)</f>
        <v>29900</v>
      </c>
      <c r="O84" s="8"/>
      <c r="P84" s="4"/>
      <c r="Q84" s="13"/>
    </row>
    <row r="85" customFormat="false" ht="18" hidden="false" customHeight="true" outlineLevel="0" collapsed="false">
      <c r="A85" s="2"/>
      <c r="B85" s="5"/>
      <c r="C85" s="5"/>
      <c r="D85" s="5"/>
      <c r="E85" s="5"/>
      <c r="F85" s="4"/>
      <c r="G85" s="5"/>
      <c r="H85" s="5"/>
      <c r="I85" s="5"/>
      <c r="J85" s="5"/>
      <c r="K85" s="5"/>
      <c r="L85" s="7"/>
      <c r="M85" s="158" t="s">
        <v>52</v>
      </c>
      <c r="N85" s="159"/>
      <c r="O85" s="8"/>
      <c r="P85" s="4"/>
      <c r="Q85" s="13"/>
    </row>
    <row r="86" customFormat="false" ht="15" hidden="false" customHeight="true" outlineLevel="0" collapsed="false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7"/>
      <c r="M86" s="160" t="s">
        <v>53</v>
      </c>
      <c r="N86" s="161"/>
      <c r="O86" s="121"/>
      <c r="P86" s="4"/>
      <c r="Q86" s="13"/>
    </row>
    <row r="87" customFormat="false" ht="19" hidden="false" customHeight="true" outlineLevel="0" collapsed="false">
      <c r="A87" s="2"/>
      <c r="B87" s="5"/>
      <c r="C87" s="5"/>
      <c r="D87" s="162"/>
      <c r="E87" s="5"/>
      <c r="F87" s="5"/>
      <c r="G87" s="5"/>
      <c r="H87" s="5"/>
      <c r="I87" s="5"/>
      <c r="J87" s="5"/>
      <c r="K87" s="5"/>
      <c r="L87" s="7"/>
      <c r="M87" s="29" t="s">
        <v>54</v>
      </c>
      <c r="N87" s="163" t="n">
        <f aca="false">SUM(M79)</f>
        <v>20930</v>
      </c>
      <c r="O87" s="164" t="n">
        <f aca="false">M79</f>
        <v>20930</v>
      </c>
      <c r="P87" s="165"/>
      <c r="Q87" s="166"/>
    </row>
    <row r="88" customFormat="false" ht="19" hidden="false" customHeight="true" outlineLevel="0" collapsed="false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7"/>
      <c r="M88" s="29" t="s">
        <v>55</v>
      </c>
      <c r="N88" s="163" t="n">
        <f aca="false">SUM(N84)</f>
        <v>29900</v>
      </c>
      <c r="O88" s="164" t="n">
        <f aca="false">P79</f>
        <v>29900</v>
      </c>
      <c r="P88" s="165"/>
      <c r="Q88" s="13"/>
    </row>
    <row r="89" customFormat="false" ht="19" hidden="false" customHeight="true" outlineLevel="0" collapsed="false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7"/>
      <c r="M89" s="167"/>
      <c r="N89" s="167"/>
      <c r="O89" s="164"/>
      <c r="P89" s="165"/>
      <c r="Q89" s="13"/>
    </row>
    <row r="90" customFormat="false" ht="23.5" hidden="false" customHeight="true" outlineLevel="0" collapsed="false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7"/>
      <c r="M90" s="29" t="s">
        <v>56</v>
      </c>
      <c r="N90" s="168" t="n">
        <f aca="false">N92/N88*100%</f>
        <v>0.3</v>
      </c>
      <c r="O90" s="169" t="n">
        <f aca="false">O92/O88*100%</f>
        <v>0.3</v>
      </c>
      <c r="P90" s="165"/>
      <c r="Q90" s="13"/>
    </row>
    <row r="91" customFormat="false" ht="19" hidden="false" customHeight="true" outlineLevel="0" collapsed="false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7"/>
      <c r="M91" s="167"/>
      <c r="N91" s="167"/>
      <c r="O91" s="164"/>
      <c r="P91" s="165"/>
      <c r="Q91" s="13"/>
    </row>
    <row r="92" customFormat="false" ht="19" hidden="false" customHeight="true" outlineLevel="0" collapsed="false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7"/>
      <c r="M92" s="29" t="s">
        <v>57</v>
      </c>
      <c r="N92" s="170" t="n">
        <f aca="false">SUM(N88-N87)</f>
        <v>8970</v>
      </c>
      <c r="O92" s="171" t="n">
        <f aca="false">O88-O87</f>
        <v>8970</v>
      </c>
      <c r="P92" s="165"/>
      <c r="Q92" s="13"/>
    </row>
  </sheetData>
  <conditionalFormatting sqref="M7:M16 M18:M26 M28:M34 M36:M7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2025-09-12T12:04:14Z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